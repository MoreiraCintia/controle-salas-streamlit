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SVR-ANMOURA\Secretaria\Secretaria\Cursos 2025\Planejamento\"/>
    </mc:Choice>
  </mc:AlternateContent>
  <xr:revisionPtr revIDLastSave="0" documentId="13_ncr:1_{81A877DB-04EF-491B-B1D5-A82DFE42DFEB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Resumo" sheetId="21" state="hidden" r:id="rId1"/>
    <sheet name="Planejamento" sheetId="12" r:id="rId2"/>
    <sheet name="Salas" sheetId="29" r:id="rId3"/>
    <sheet name="Controle_salas" sheetId="30" r:id="rId4"/>
    <sheet name="Horarios Julho" sheetId="26" state="hidden" r:id="rId5"/>
    <sheet name="Valor Executado" sheetId="23" state="hidden" r:id="rId6"/>
    <sheet name="RH " sheetId="24" state="hidden" r:id="rId7"/>
    <sheet name="Insumos" sheetId="25" state="hidden" r:id="rId8"/>
    <sheet name="Planilha1" sheetId="19" state="hidden" r:id="rId9"/>
    <sheet name="Planejamento 1ºSem" sheetId="18" state="hidden" r:id="rId10"/>
    <sheet name="Calendário" sheetId="15" state="hidden" r:id="rId11"/>
    <sheet name="BANDA" sheetId="16" state="hidden" r:id="rId12"/>
    <sheet name="Dados de Treinamento" sheetId="14" state="hidden" r:id="rId13"/>
    <sheet name="CAPA" sheetId="28" r:id="rId14"/>
  </sheets>
  <definedNames>
    <definedName name="_xlnm._FilterDatabase" localSheetId="1" hidden="1">Planejamento!#REF!</definedName>
    <definedName name="_xlnm._FilterDatabase" localSheetId="9" hidden="1">'Planejamento 1ºSem'!$A$1:$AB$1</definedName>
    <definedName name="_xlnm.Print_Area" localSheetId="13">CAPA!$A$1:$G$36</definedName>
    <definedName name="_xlnm.Print_Area" localSheetId="12">'Dados de Treinamento'!$A$1:$N$40</definedName>
    <definedName name="Texto40" localSheetId="12">'Dados de Treinamento'!$A$23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0" l="1"/>
  <c r="J2" i="30" s="1"/>
  <c r="M2" i="30" s="1"/>
  <c r="P2" i="30" s="1"/>
  <c r="S2" i="30" s="1"/>
  <c r="V2" i="30" s="1"/>
  <c r="Y2" i="30" s="1"/>
  <c r="AB2" i="30" s="1"/>
  <c r="AE2" i="30" s="1"/>
  <c r="AH2" i="30" s="1"/>
  <c r="AK2" i="30" s="1"/>
  <c r="AN2" i="30" s="1"/>
  <c r="AQ2" i="30" s="1"/>
  <c r="AT2" i="30" s="1"/>
  <c r="AW2" i="30" s="1"/>
  <c r="AZ2" i="30" s="1"/>
  <c r="BC2" i="30" s="1"/>
  <c r="BF2" i="30" s="1"/>
  <c r="BI2" i="30" s="1"/>
  <c r="BL2" i="30" s="1"/>
  <c r="BO2" i="30" s="1"/>
  <c r="BR2" i="30" s="1"/>
  <c r="BU2" i="30" s="1"/>
  <c r="BX2" i="30" s="1"/>
  <c r="CA2" i="30" s="1"/>
  <c r="CD2" i="30" s="1"/>
  <c r="CG2" i="30" s="1"/>
  <c r="CJ2" i="30" s="1"/>
  <c r="CM2" i="30" s="1"/>
  <c r="CP2" i="30" s="1"/>
  <c r="CS2" i="30" s="1"/>
  <c r="CV2" i="30" s="1"/>
  <c r="CY2" i="30" s="1"/>
  <c r="DB2" i="30" s="1"/>
  <c r="DE2" i="30" s="1"/>
  <c r="DH2" i="30" s="1"/>
  <c r="DK2" i="30" s="1"/>
  <c r="DN2" i="30" s="1"/>
  <c r="DQ2" i="30" s="1"/>
  <c r="DT2" i="30" s="1"/>
  <c r="DW2" i="30" s="1"/>
  <c r="DZ2" i="30" s="1"/>
  <c r="EC2" i="30" s="1"/>
  <c r="EF2" i="30" s="1"/>
  <c r="EI2" i="30" s="1"/>
  <c r="EL2" i="30" s="1"/>
  <c r="EO2" i="30" s="1"/>
  <c r="ER2" i="30" s="1"/>
  <c r="EU2" i="30" s="1"/>
  <c r="EX2" i="30" s="1"/>
  <c r="FA2" i="30" s="1"/>
  <c r="FD2" i="30" s="1"/>
  <c r="FG2" i="30" s="1"/>
  <c r="FJ2" i="30" s="1"/>
  <c r="FM2" i="30" s="1"/>
  <c r="FP2" i="30" s="1"/>
  <c r="FS2" i="30" s="1"/>
  <c r="FV2" i="30" s="1"/>
  <c r="FY2" i="30" s="1"/>
  <c r="GB2" i="30" s="1"/>
  <c r="GE2" i="30" s="1"/>
  <c r="GH2" i="30" s="1"/>
  <c r="GK2" i="30" s="1"/>
  <c r="GN2" i="30" s="1"/>
  <c r="GQ2" i="30" s="1"/>
  <c r="GT2" i="30" s="1"/>
  <c r="GW2" i="30" s="1"/>
  <c r="GZ2" i="30" s="1"/>
  <c r="HC2" i="30" s="1"/>
  <c r="HF2" i="30" s="1"/>
  <c r="HI2" i="30" s="1"/>
  <c r="HL2" i="30" s="1"/>
  <c r="HO2" i="30" s="1"/>
  <c r="HR2" i="30" s="1"/>
  <c r="HU2" i="30" s="1"/>
  <c r="HX2" i="30" s="1"/>
  <c r="IA2" i="30" s="1"/>
  <c r="ID2" i="30" s="1"/>
  <c r="IG2" i="30" s="1"/>
  <c r="IJ2" i="30" s="1"/>
  <c r="IM2" i="30" s="1"/>
  <c r="IP2" i="30" s="1"/>
  <c r="IS2" i="30" s="1"/>
  <c r="IV2" i="30" s="1"/>
  <c r="IY2" i="30" s="1"/>
  <c r="JB2" i="30" s="1"/>
  <c r="JE2" i="30" s="1"/>
  <c r="JH2" i="30" s="1"/>
  <c r="JK2" i="30" s="1"/>
  <c r="JN2" i="30" s="1"/>
  <c r="JQ2" i="30" s="1"/>
  <c r="JT2" i="30" s="1"/>
  <c r="JW2" i="30" s="1"/>
  <c r="JZ2" i="30" s="1"/>
  <c r="KC2" i="30" s="1"/>
  <c r="KF2" i="30" s="1"/>
  <c r="KI2" i="30" s="1"/>
  <c r="KL2" i="30" s="1"/>
  <c r="KO2" i="30" s="1"/>
  <c r="KR2" i="30" s="1"/>
  <c r="KU2" i="30" s="1"/>
  <c r="KX2" i="30" s="1"/>
  <c r="LA2" i="30" s="1"/>
  <c r="LD2" i="30" s="1"/>
  <c r="LG2" i="30" s="1"/>
  <c r="LJ2" i="30" s="1"/>
  <c r="LM2" i="30" s="1"/>
  <c r="LP2" i="30" s="1"/>
  <c r="LS2" i="30" s="1"/>
  <c r="LV2" i="30" s="1"/>
  <c r="LY2" i="30" s="1"/>
  <c r="MB2" i="30" s="1"/>
  <c r="ME2" i="30" s="1"/>
  <c r="MH2" i="30" s="1"/>
  <c r="MK2" i="30" s="1"/>
  <c r="MN2" i="30" s="1"/>
  <c r="MQ2" i="30" s="1"/>
  <c r="MT2" i="30" s="1"/>
  <c r="MW2" i="30" s="1"/>
  <c r="MZ2" i="30" s="1"/>
  <c r="NC2" i="30" s="1"/>
  <c r="NF2" i="30" s="1"/>
  <c r="NI2" i="30" s="1"/>
  <c r="NL2" i="30" s="1"/>
  <c r="NO2" i="30" s="1"/>
  <c r="NR2" i="30" s="1"/>
  <c r="NU2" i="30" s="1"/>
  <c r="NX2" i="30" s="1"/>
  <c r="OA2" i="30" s="1"/>
  <c r="OD2" i="30" s="1"/>
  <c r="OG2" i="30" s="1"/>
  <c r="OJ2" i="30" s="1"/>
  <c r="OM2" i="30" s="1"/>
  <c r="OP2" i="30" s="1"/>
  <c r="OS2" i="30" s="1"/>
  <c r="OV2" i="30" s="1"/>
  <c r="OY2" i="30" s="1"/>
  <c r="PB2" i="30" s="1"/>
  <c r="PE2" i="30" s="1"/>
  <c r="PH2" i="30" s="1"/>
  <c r="PK2" i="30" s="1"/>
  <c r="PN2" i="30" s="1"/>
  <c r="PQ2" i="30" s="1"/>
  <c r="PT2" i="30" s="1"/>
  <c r="PW2" i="30" s="1"/>
  <c r="PZ2" i="30" s="1"/>
  <c r="QC2" i="30" s="1"/>
  <c r="QF2" i="30" s="1"/>
  <c r="QI2" i="30" s="1"/>
  <c r="QL2" i="30" s="1"/>
  <c r="QO2" i="30" s="1"/>
  <c r="F2" i="30"/>
  <c r="I2" i="30" s="1"/>
  <c r="L2" i="30" s="1"/>
  <c r="O2" i="30" s="1"/>
  <c r="R2" i="30" s="1"/>
  <c r="U2" i="30" s="1"/>
  <c r="X2" i="30" s="1"/>
  <c r="AA2" i="30" s="1"/>
  <c r="AD2" i="30" s="1"/>
  <c r="AG2" i="30" s="1"/>
  <c r="AJ2" i="30" s="1"/>
  <c r="AM2" i="30" s="1"/>
  <c r="AP2" i="30" s="1"/>
  <c r="AS2" i="30" s="1"/>
  <c r="AV2" i="30" s="1"/>
  <c r="AY2" i="30" s="1"/>
  <c r="BB2" i="30" s="1"/>
  <c r="BE2" i="30" s="1"/>
  <c r="BH2" i="30" s="1"/>
  <c r="BK2" i="30" s="1"/>
  <c r="BN2" i="30" s="1"/>
  <c r="BQ2" i="30" s="1"/>
  <c r="BT2" i="30" s="1"/>
  <c r="BW2" i="30" s="1"/>
  <c r="BZ2" i="30" s="1"/>
  <c r="CC2" i="30" s="1"/>
  <c r="CF2" i="30" s="1"/>
  <c r="CI2" i="30" s="1"/>
  <c r="CL2" i="30" s="1"/>
  <c r="CO2" i="30" s="1"/>
  <c r="CR2" i="30" s="1"/>
  <c r="CU2" i="30" s="1"/>
  <c r="CX2" i="30" s="1"/>
  <c r="DA2" i="30" s="1"/>
  <c r="DD2" i="30" s="1"/>
  <c r="DG2" i="30" s="1"/>
  <c r="DJ2" i="30" s="1"/>
  <c r="DM2" i="30" s="1"/>
  <c r="DP2" i="30" s="1"/>
  <c r="DS2" i="30" s="1"/>
  <c r="DV2" i="30" s="1"/>
  <c r="DY2" i="30" s="1"/>
  <c r="EB2" i="30" s="1"/>
  <c r="EE2" i="30" s="1"/>
  <c r="EH2" i="30" s="1"/>
  <c r="EK2" i="30" s="1"/>
  <c r="EN2" i="30" s="1"/>
  <c r="EQ2" i="30" s="1"/>
  <c r="ET2" i="30" s="1"/>
  <c r="EW2" i="30" s="1"/>
  <c r="EZ2" i="30" s="1"/>
  <c r="FC2" i="30" s="1"/>
  <c r="FF2" i="30" s="1"/>
  <c r="FI2" i="30" s="1"/>
  <c r="FL2" i="30" s="1"/>
  <c r="FO2" i="30" s="1"/>
  <c r="FR2" i="30" s="1"/>
  <c r="FU2" i="30" s="1"/>
  <c r="FX2" i="30" s="1"/>
  <c r="GA2" i="30" s="1"/>
  <c r="GD2" i="30" s="1"/>
  <c r="GG2" i="30" s="1"/>
  <c r="GJ2" i="30" s="1"/>
  <c r="GM2" i="30" s="1"/>
  <c r="GP2" i="30" s="1"/>
  <c r="GS2" i="30" s="1"/>
  <c r="GV2" i="30" s="1"/>
  <c r="GY2" i="30" s="1"/>
  <c r="HB2" i="30" s="1"/>
  <c r="HE2" i="30" s="1"/>
  <c r="HH2" i="30" s="1"/>
  <c r="HK2" i="30" s="1"/>
  <c r="HN2" i="30" s="1"/>
  <c r="HQ2" i="30" s="1"/>
  <c r="HT2" i="30" s="1"/>
  <c r="HW2" i="30" s="1"/>
  <c r="HZ2" i="30" s="1"/>
  <c r="IC2" i="30" s="1"/>
  <c r="IF2" i="30" s="1"/>
  <c r="II2" i="30" s="1"/>
  <c r="IL2" i="30" s="1"/>
  <c r="IO2" i="30" s="1"/>
  <c r="IR2" i="30" s="1"/>
  <c r="IU2" i="30" s="1"/>
  <c r="IX2" i="30" s="1"/>
  <c r="JA2" i="30" s="1"/>
  <c r="JD2" i="30" s="1"/>
  <c r="JG2" i="30" s="1"/>
  <c r="JJ2" i="30" s="1"/>
  <c r="JM2" i="30" s="1"/>
  <c r="JP2" i="30" s="1"/>
  <c r="JS2" i="30" s="1"/>
  <c r="JV2" i="30" s="1"/>
  <c r="JY2" i="30" s="1"/>
  <c r="KB2" i="30" s="1"/>
  <c r="KE2" i="30" s="1"/>
  <c r="KH2" i="30" s="1"/>
  <c r="KK2" i="30" s="1"/>
  <c r="KN2" i="30" s="1"/>
  <c r="KQ2" i="30" s="1"/>
  <c r="KT2" i="30" s="1"/>
  <c r="KW2" i="30" s="1"/>
  <c r="KZ2" i="30" s="1"/>
  <c r="LC2" i="30" s="1"/>
  <c r="LF2" i="30" s="1"/>
  <c r="LI2" i="30" s="1"/>
  <c r="LL2" i="30" s="1"/>
  <c r="LO2" i="30" s="1"/>
  <c r="LR2" i="30" s="1"/>
  <c r="LU2" i="30" s="1"/>
  <c r="LX2" i="30" s="1"/>
  <c r="MA2" i="30" s="1"/>
  <c r="MD2" i="30" s="1"/>
  <c r="MG2" i="30" s="1"/>
  <c r="MJ2" i="30" s="1"/>
  <c r="MM2" i="30" s="1"/>
  <c r="MP2" i="30" s="1"/>
  <c r="MS2" i="30" s="1"/>
  <c r="MV2" i="30" s="1"/>
  <c r="MY2" i="30" s="1"/>
  <c r="NB2" i="30" s="1"/>
  <c r="NE2" i="30" s="1"/>
  <c r="NH2" i="30" s="1"/>
  <c r="NK2" i="30" s="1"/>
  <c r="NN2" i="30" s="1"/>
  <c r="NQ2" i="30" s="1"/>
  <c r="NT2" i="30" s="1"/>
  <c r="NW2" i="30" s="1"/>
  <c r="NZ2" i="30" s="1"/>
  <c r="OC2" i="30" s="1"/>
  <c r="OF2" i="30" s="1"/>
  <c r="OI2" i="30" s="1"/>
  <c r="OL2" i="30" s="1"/>
  <c r="OO2" i="30" s="1"/>
  <c r="OR2" i="30" s="1"/>
  <c r="OU2" i="30" s="1"/>
  <c r="OX2" i="30" s="1"/>
  <c r="PA2" i="30" s="1"/>
  <c r="PD2" i="30" s="1"/>
  <c r="PG2" i="30" s="1"/>
  <c r="PJ2" i="30" s="1"/>
  <c r="PM2" i="30" s="1"/>
  <c r="PP2" i="30" s="1"/>
  <c r="PS2" i="30" s="1"/>
  <c r="PV2" i="30" s="1"/>
  <c r="PY2" i="30" s="1"/>
  <c r="QB2" i="30" s="1"/>
  <c r="QE2" i="30" s="1"/>
  <c r="QH2" i="30" s="1"/>
  <c r="QK2" i="30" s="1"/>
  <c r="QN2" i="30" s="1"/>
  <c r="E2" i="30"/>
  <c r="H2" i="30" s="1"/>
  <c r="K2" i="30" s="1"/>
  <c r="N2" i="30" s="1"/>
  <c r="Q2" i="30" s="1"/>
  <c r="T2" i="30" s="1"/>
  <c r="W2" i="30" s="1"/>
  <c r="Z2" i="30" s="1"/>
  <c r="AC2" i="30" s="1"/>
  <c r="AF2" i="30" s="1"/>
  <c r="AI2" i="30" s="1"/>
  <c r="AL2" i="30" s="1"/>
  <c r="AO2" i="30" s="1"/>
  <c r="AR2" i="30" s="1"/>
  <c r="AU2" i="30" s="1"/>
  <c r="AX2" i="30" s="1"/>
  <c r="BA2" i="30" s="1"/>
  <c r="BD2" i="30" s="1"/>
  <c r="BG2" i="30" s="1"/>
  <c r="BJ2" i="30" s="1"/>
  <c r="BM2" i="30" s="1"/>
  <c r="BP2" i="30" s="1"/>
  <c r="BS2" i="30" s="1"/>
  <c r="BV2" i="30" s="1"/>
  <c r="BY2" i="30" s="1"/>
  <c r="CB2" i="30" s="1"/>
  <c r="CE2" i="30" s="1"/>
  <c r="CH2" i="30" s="1"/>
  <c r="CK2" i="30" s="1"/>
  <c r="CN2" i="30" s="1"/>
  <c r="CQ2" i="30" s="1"/>
  <c r="CT2" i="30" s="1"/>
  <c r="CW2" i="30" s="1"/>
  <c r="CZ2" i="30" s="1"/>
  <c r="DC2" i="30" s="1"/>
  <c r="DF2" i="30" s="1"/>
  <c r="DI2" i="30" s="1"/>
  <c r="DL2" i="30" s="1"/>
  <c r="DO2" i="30" s="1"/>
  <c r="DR2" i="30" s="1"/>
  <c r="DU2" i="30" s="1"/>
  <c r="DX2" i="30" s="1"/>
  <c r="EA2" i="30" s="1"/>
  <c r="ED2" i="30" s="1"/>
  <c r="EG2" i="30" s="1"/>
  <c r="EJ2" i="30" s="1"/>
  <c r="EM2" i="30" s="1"/>
  <c r="EP2" i="30" s="1"/>
  <c r="ES2" i="30" s="1"/>
  <c r="EV2" i="30" s="1"/>
  <c r="EY2" i="30" s="1"/>
  <c r="FB2" i="30" s="1"/>
  <c r="FE2" i="30" s="1"/>
  <c r="FH2" i="30" s="1"/>
  <c r="FK2" i="30" s="1"/>
  <c r="FN2" i="30" s="1"/>
  <c r="FQ2" i="30" s="1"/>
  <c r="FT2" i="30" s="1"/>
  <c r="FW2" i="30" s="1"/>
  <c r="FZ2" i="30" s="1"/>
  <c r="GC2" i="30" s="1"/>
  <c r="GF2" i="30" s="1"/>
  <c r="GI2" i="30" s="1"/>
  <c r="GL2" i="30" s="1"/>
  <c r="GO2" i="30" s="1"/>
  <c r="GR2" i="30" s="1"/>
  <c r="GU2" i="30" s="1"/>
  <c r="GX2" i="30" s="1"/>
  <c r="HA2" i="30" s="1"/>
  <c r="HD2" i="30" s="1"/>
  <c r="HG2" i="30" s="1"/>
  <c r="HJ2" i="30" s="1"/>
  <c r="HM2" i="30" s="1"/>
  <c r="HP2" i="30" s="1"/>
  <c r="HS2" i="30" s="1"/>
  <c r="HV2" i="30" s="1"/>
  <c r="HY2" i="30" s="1"/>
  <c r="IB2" i="30" s="1"/>
  <c r="IE2" i="30" s="1"/>
  <c r="IH2" i="30" s="1"/>
  <c r="IK2" i="30" s="1"/>
  <c r="IN2" i="30" s="1"/>
  <c r="IQ2" i="30" s="1"/>
  <c r="IT2" i="30" s="1"/>
  <c r="IW2" i="30" s="1"/>
  <c r="IZ2" i="30" s="1"/>
  <c r="JC2" i="30" s="1"/>
  <c r="JF2" i="30" s="1"/>
  <c r="JI2" i="30" s="1"/>
  <c r="JL2" i="30" s="1"/>
  <c r="JO2" i="30" s="1"/>
  <c r="JR2" i="30" s="1"/>
  <c r="JU2" i="30" s="1"/>
  <c r="JX2" i="30" s="1"/>
  <c r="KA2" i="30" s="1"/>
  <c r="KD2" i="30" s="1"/>
  <c r="KG2" i="30" s="1"/>
  <c r="KJ2" i="30" s="1"/>
  <c r="KM2" i="30" s="1"/>
  <c r="KP2" i="30" s="1"/>
  <c r="KS2" i="30" s="1"/>
  <c r="KV2" i="30" s="1"/>
  <c r="KY2" i="30" s="1"/>
  <c r="LB2" i="30" s="1"/>
  <c r="LE2" i="30" s="1"/>
  <c r="LH2" i="30" s="1"/>
  <c r="LK2" i="30" s="1"/>
  <c r="LN2" i="30" s="1"/>
  <c r="LQ2" i="30" s="1"/>
  <c r="LT2" i="30" s="1"/>
  <c r="LW2" i="30" s="1"/>
  <c r="LZ2" i="30" s="1"/>
  <c r="MC2" i="30" s="1"/>
  <c r="MF2" i="30" s="1"/>
  <c r="MI2" i="30" s="1"/>
  <c r="ML2" i="30" s="1"/>
  <c r="MO2" i="30" s="1"/>
  <c r="MR2" i="30" s="1"/>
  <c r="MU2" i="30" s="1"/>
  <c r="MX2" i="30" s="1"/>
  <c r="NA2" i="30" s="1"/>
  <c r="ND2" i="30" s="1"/>
  <c r="NG2" i="30" s="1"/>
  <c r="NJ2" i="30" s="1"/>
  <c r="NM2" i="30" s="1"/>
  <c r="NP2" i="30" s="1"/>
  <c r="NS2" i="30" s="1"/>
  <c r="NV2" i="30" s="1"/>
  <c r="NY2" i="30" s="1"/>
  <c r="OB2" i="30" s="1"/>
  <c r="OE2" i="30" s="1"/>
  <c r="OH2" i="30" s="1"/>
  <c r="OK2" i="30" s="1"/>
  <c r="ON2" i="30" s="1"/>
  <c r="OQ2" i="30" s="1"/>
  <c r="OT2" i="30" s="1"/>
  <c r="OW2" i="30" s="1"/>
  <c r="OZ2" i="30" s="1"/>
  <c r="PC2" i="30" s="1"/>
  <c r="PF2" i="30" s="1"/>
  <c r="PI2" i="30" s="1"/>
  <c r="PL2" i="30" s="1"/>
  <c r="PO2" i="30" s="1"/>
  <c r="PR2" i="30" s="1"/>
  <c r="PU2" i="30" s="1"/>
  <c r="PX2" i="30" s="1"/>
  <c r="QA2" i="30" s="1"/>
  <c r="QD2" i="30" s="1"/>
  <c r="QG2" i="30" s="1"/>
  <c r="QJ2" i="30" s="1"/>
  <c r="QM2" i="30" s="1"/>
  <c r="A4" i="30" l="1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3" i="30"/>
  <c r="N48" i="12" l="1"/>
  <c r="Q48" i="12"/>
  <c r="R48" i="12" s="1"/>
  <c r="X48" i="12"/>
  <c r="AE48" i="12"/>
  <c r="T48" i="12" l="1"/>
  <c r="AB48" i="12" s="1"/>
  <c r="A18" i="23"/>
  <c r="A25" i="23"/>
  <c r="A48" i="23"/>
  <c r="A49" i="23"/>
  <c r="A61" i="23"/>
  <c r="AE2" i="12"/>
  <c r="AE3" i="12"/>
  <c r="AE4" i="12"/>
  <c r="AE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9" i="12"/>
  <c r="AE50" i="12"/>
  <c r="AE51" i="12"/>
  <c r="AE52" i="12"/>
  <c r="AE53" i="12"/>
  <c r="AE54" i="12"/>
  <c r="AE55" i="12"/>
  <c r="AE56" i="12"/>
  <c r="AE57" i="12"/>
  <c r="AE58" i="12"/>
  <c r="AE59" i="12"/>
  <c r="AE60" i="12"/>
  <c r="AE61" i="12"/>
  <c r="AE62" i="12"/>
  <c r="AE63" i="12"/>
  <c r="AE64" i="12"/>
  <c r="AE65" i="12"/>
  <c r="AE66" i="12"/>
  <c r="AE67" i="12"/>
  <c r="AE68" i="12"/>
  <c r="AE69" i="12"/>
  <c r="AE70" i="12"/>
  <c r="AE71" i="12"/>
  <c r="AE72" i="12"/>
  <c r="AE73" i="12"/>
  <c r="AE74" i="12"/>
  <c r="AE75" i="12"/>
  <c r="AE76" i="12"/>
  <c r="AE77" i="12"/>
  <c r="AE78" i="12"/>
  <c r="AE79" i="12"/>
  <c r="I47" i="24" l="1"/>
  <c r="I48" i="24"/>
  <c r="I46" i="24"/>
  <c r="H48" i="24"/>
  <c r="H47" i="24"/>
  <c r="H46" i="24"/>
  <c r="G48" i="24"/>
  <c r="G47" i="24"/>
  <c r="G46" i="24"/>
  <c r="V80" i="12" l="1"/>
  <c r="AC80" i="12"/>
  <c r="AD80" i="12"/>
  <c r="A65" i="12"/>
  <c r="N65" i="12"/>
  <c r="Q65" i="12"/>
  <c r="R65" i="12" s="1"/>
  <c r="X65" i="12"/>
  <c r="AB65" i="12" l="1"/>
  <c r="A41" i="12"/>
  <c r="N41" i="12"/>
  <c r="Q41" i="12"/>
  <c r="R41" i="12" s="1"/>
  <c r="X41" i="12"/>
  <c r="A45" i="12"/>
  <c r="N45" i="12"/>
  <c r="Q45" i="12"/>
  <c r="R45" i="12" s="1"/>
  <c r="AB45" i="12" s="1"/>
  <c r="X45" i="12"/>
  <c r="N51" i="12"/>
  <c r="Q51" i="12"/>
  <c r="R51" i="12" s="1"/>
  <c r="X51" i="12"/>
  <c r="A71" i="12"/>
  <c r="N71" i="12"/>
  <c r="Q71" i="12"/>
  <c r="R71" i="12" s="1"/>
  <c r="X71" i="12"/>
  <c r="A58" i="12"/>
  <c r="N58" i="12"/>
  <c r="Q58" i="12"/>
  <c r="R58" i="12" s="1"/>
  <c r="X58" i="12"/>
  <c r="A59" i="12"/>
  <c r="N59" i="12"/>
  <c r="Q59" i="12"/>
  <c r="R59" i="12" s="1"/>
  <c r="X59" i="12"/>
  <c r="A44" i="12"/>
  <c r="A44" i="23" s="1"/>
  <c r="A67" i="12"/>
  <c r="N44" i="12"/>
  <c r="AB44" i="12" s="1"/>
  <c r="N67" i="12"/>
  <c r="N74" i="12"/>
  <c r="Q44" i="12"/>
  <c r="R44" i="12" s="1"/>
  <c r="Q67" i="12"/>
  <c r="R67" i="12" s="1"/>
  <c r="Q74" i="12"/>
  <c r="R74" i="12" s="1"/>
  <c r="X44" i="12"/>
  <c r="X67" i="12"/>
  <c r="X74" i="12"/>
  <c r="A62" i="12"/>
  <c r="A57" i="12"/>
  <c r="A69" i="12"/>
  <c r="N62" i="12"/>
  <c r="N57" i="12"/>
  <c r="N69" i="12"/>
  <c r="Q62" i="12"/>
  <c r="R62" i="12" s="1"/>
  <c r="Q57" i="12"/>
  <c r="R57" i="12" s="1"/>
  <c r="Q69" i="12"/>
  <c r="R69" i="12" s="1"/>
  <c r="X62" i="12"/>
  <c r="X57" i="12"/>
  <c r="X69" i="12"/>
  <c r="A56" i="12"/>
  <c r="A73" i="12"/>
  <c r="A68" i="12"/>
  <c r="A77" i="12"/>
  <c r="A42" i="12"/>
  <c r="N56" i="12"/>
  <c r="N73" i="12"/>
  <c r="N68" i="12"/>
  <c r="N77" i="12"/>
  <c r="N42" i="12"/>
  <c r="Q56" i="12"/>
  <c r="R56" i="12" s="1"/>
  <c r="Q73" i="12"/>
  <c r="R73" i="12" s="1"/>
  <c r="Q68" i="12"/>
  <c r="R68" i="12" s="1"/>
  <c r="AB68" i="12" s="1"/>
  <c r="Q77" i="12"/>
  <c r="R77" i="12" s="1"/>
  <c r="Q42" i="12"/>
  <c r="R42" i="12" s="1"/>
  <c r="X56" i="12"/>
  <c r="X73" i="12"/>
  <c r="X68" i="12"/>
  <c r="X77" i="12"/>
  <c r="X42" i="12"/>
  <c r="F20" i="21"/>
  <c r="A42" i="23" l="1"/>
  <c r="A43" i="23"/>
  <c r="A45" i="23"/>
  <c r="A62" i="23"/>
  <c r="A68" i="23"/>
  <c r="A69" i="23"/>
  <c r="A46" i="23"/>
  <c r="A47" i="23"/>
  <c r="A74" i="23"/>
  <c r="A57" i="23"/>
  <c r="A59" i="23"/>
  <c r="A60" i="23"/>
  <c r="A58" i="23"/>
  <c r="AB41" i="12"/>
  <c r="T51" i="12"/>
  <c r="AB51" i="12" s="1"/>
  <c r="T71" i="12"/>
  <c r="AB71" i="12" s="1"/>
  <c r="T58" i="12"/>
  <c r="AB58" i="12" s="1"/>
  <c r="AB59" i="12"/>
  <c r="T74" i="12"/>
  <c r="AB74" i="12" s="1"/>
  <c r="T67" i="12"/>
  <c r="AB67" i="12" s="1"/>
  <c r="T69" i="12"/>
  <c r="AB69" i="12" s="1"/>
  <c r="T62" i="12"/>
  <c r="AB62" i="12" s="1"/>
  <c r="AB57" i="12"/>
  <c r="AB42" i="12"/>
  <c r="T77" i="12"/>
  <c r="AB77" i="12" s="1"/>
  <c r="AB56" i="12"/>
  <c r="T73" i="12"/>
  <c r="AB73" i="12" s="1"/>
  <c r="H70" i="16"/>
  <c r="H69" i="16"/>
  <c r="H68" i="16"/>
  <c r="H67" i="16"/>
  <c r="H71" i="16" s="1"/>
  <c r="G35" i="16"/>
  <c r="H11" i="16"/>
  <c r="G8" i="16"/>
  <c r="I7" i="16"/>
  <c r="I6" i="16"/>
  <c r="I5" i="16"/>
  <c r="I8" i="16" s="1"/>
  <c r="A70" i="12"/>
  <c r="A70" i="23" l="1"/>
  <c r="A71" i="23"/>
  <c r="H30" i="16"/>
  <c r="H49" i="16"/>
  <c r="H54" i="16"/>
  <c r="H43" i="16"/>
  <c r="H35" i="16"/>
  <c r="H25" i="16"/>
  <c r="H15" i="16"/>
  <c r="H19" i="16"/>
  <c r="H38" i="16"/>
  <c r="H59" i="16"/>
  <c r="H63" i="16" l="1"/>
  <c r="H73" i="16" s="1"/>
  <c r="A53" i="12" l="1"/>
  <c r="N53" i="12"/>
  <c r="Q53" i="12"/>
  <c r="R53" i="12" s="1"/>
  <c r="X53" i="12"/>
  <c r="A52" i="12"/>
  <c r="N52" i="12"/>
  <c r="Q52" i="12"/>
  <c r="R52" i="12" s="1"/>
  <c r="AB52" i="12" s="1"/>
  <c r="X52" i="12"/>
  <c r="E61" i="23"/>
  <c r="D62" i="23"/>
  <c r="D68" i="23"/>
  <c r="D69" i="23"/>
  <c r="D70" i="23"/>
  <c r="D71" i="23"/>
  <c r="D74" i="23"/>
  <c r="E62" i="23"/>
  <c r="E68" i="23"/>
  <c r="E69" i="23"/>
  <c r="E70" i="23"/>
  <c r="E71" i="23"/>
  <c r="E74" i="23"/>
  <c r="A66" i="12"/>
  <c r="N66" i="12"/>
  <c r="Q66" i="12"/>
  <c r="R66" i="12" s="1"/>
  <c r="X66" i="12"/>
  <c r="A55" i="12"/>
  <c r="N55" i="12"/>
  <c r="Q55" i="12"/>
  <c r="R55" i="12" s="1"/>
  <c r="X55" i="12"/>
  <c r="B20" i="21"/>
  <c r="A52" i="23" l="1"/>
  <c r="A66" i="23"/>
  <c r="D66" i="23" s="1"/>
  <c r="A67" i="23"/>
  <c r="A56" i="23"/>
  <c r="A53" i="23"/>
  <c r="T53" i="12"/>
  <c r="AB53" i="12" s="1"/>
  <c r="E60" i="23"/>
  <c r="AB66" i="12"/>
  <c r="AB55" i="12"/>
  <c r="B24" i="21"/>
  <c r="E66" i="23" l="1"/>
  <c r="D67" i="23"/>
  <c r="E67" i="23"/>
  <c r="I49" i="24"/>
  <c r="AB48" i="18"/>
  <c r="X48" i="18"/>
  <c r="Q48" i="18"/>
  <c r="R48" i="18" s="1"/>
  <c r="N48" i="18"/>
  <c r="AB47" i="18"/>
  <c r="X47" i="18"/>
  <c r="Q47" i="18"/>
  <c r="R47" i="18" s="1"/>
  <c r="N47" i="18"/>
  <c r="AB46" i="18"/>
  <c r="X46" i="18"/>
  <c r="Q46" i="18"/>
  <c r="R46" i="18" s="1"/>
  <c r="N46" i="18"/>
  <c r="AB45" i="18"/>
  <c r="X45" i="18"/>
  <c r="Q45" i="18"/>
  <c r="R45" i="18" s="1"/>
  <c r="N45" i="18"/>
  <c r="AB44" i="18"/>
  <c r="X44" i="18"/>
  <c r="Q44" i="18"/>
  <c r="R44" i="18" s="1"/>
  <c r="N44" i="18"/>
  <c r="X2" i="12" l="1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9" i="12"/>
  <c r="X50" i="12"/>
  <c r="X61" i="12"/>
  <c r="X46" i="12"/>
  <c r="X47" i="12"/>
  <c r="X60" i="12"/>
  <c r="X64" i="12"/>
  <c r="X75" i="12"/>
  <c r="X54" i="12"/>
  <c r="X70" i="12"/>
  <c r="X76" i="12"/>
  <c r="X78" i="12"/>
  <c r="X63" i="12"/>
  <c r="X72" i="12"/>
  <c r="X79" i="12"/>
  <c r="Y37" i="12"/>
  <c r="X80" i="12" l="1"/>
  <c r="Y36" i="12"/>
  <c r="Y29" i="12"/>
  <c r="Y26" i="12"/>
  <c r="Y19" i="12"/>
  <c r="Y5" i="12"/>
  <c r="Y80" i="12" l="1"/>
  <c r="I10" i="25"/>
  <c r="I5" i="25"/>
  <c r="I6" i="25"/>
  <c r="I7" i="25"/>
  <c r="I8" i="25"/>
  <c r="I9" i="25"/>
  <c r="I4" i="25"/>
  <c r="F8" i="25"/>
  <c r="E7" i="25"/>
  <c r="E6" i="25"/>
  <c r="C4" i="25"/>
  <c r="I26" i="24" l="1"/>
  <c r="G25" i="24"/>
  <c r="H12" i="24"/>
  <c r="H17" i="24"/>
  <c r="G17" i="24"/>
  <c r="G16" i="24"/>
  <c r="G15" i="24"/>
  <c r="H5" i="24"/>
  <c r="G5" i="24"/>
  <c r="I20" i="24"/>
  <c r="I21" i="24"/>
  <c r="I22" i="24"/>
  <c r="I23" i="24"/>
  <c r="I24" i="24"/>
  <c r="I17" i="24" l="1"/>
  <c r="I14" i="24"/>
  <c r="G42" i="24"/>
  <c r="G44" i="24" s="1"/>
  <c r="F40" i="24"/>
  <c r="H10" i="24"/>
  <c r="H27" i="24" s="1"/>
  <c r="G10" i="24"/>
  <c r="G27" i="24" s="1"/>
  <c r="E11" i="24"/>
  <c r="I11" i="24" s="1"/>
  <c r="D10" i="24"/>
  <c r="D27" i="24" s="1"/>
  <c r="I6" i="24"/>
  <c r="I7" i="24"/>
  <c r="I8" i="24"/>
  <c r="I12" i="24"/>
  <c r="I13" i="24"/>
  <c r="I15" i="24"/>
  <c r="I16" i="24"/>
  <c r="I18" i="24"/>
  <c r="I19" i="24"/>
  <c r="I25" i="24"/>
  <c r="F42" i="24"/>
  <c r="E42" i="24"/>
  <c r="D42" i="24"/>
  <c r="E40" i="24"/>
  <c r="D40" i="24"/>
  <c r="C40" i="24"/>
  <c r="I28" i="24"/>
  <c r="I29" i="24"/>
  <c r="I32" i="24"/>
  <c r="I33" i="24"/>
  <c r="I5" i="24"/>
  <c r="H34" i="24"/>
  <c r="G34" i="24"/>
  <c r="F34" i="24"/>
  <c r="E34" i="24"/>
  <c r="D34" i="24"/>
  <c r="C34" i="24"/>
  <c r="E30" i="24"/>
  <c r="D30" i="24"/>
  <c r="C30" i="24"/>
  <c r="F27" i="24"/>
  <c r="C27" i="24"/>
  <c r="F44" i="24" l="1"/>
  <c r="E44" i="24"/>
  <c r="E27" i="24"/>
  <c r="D44" i="24"/>
  <c r="I10" i="24"/>
  <c r="I27" i="24" s="1"/>
  <c r="I34" i="24"/>
  <c r="A112" i="23" l="1"/>
  <c r="A111" i="23"/>
  <c r="A110" i="23"/>
  <c r="A108" i="23"/>
  <c r="E52" i="23" l="1"/>
  <c r="D52" i="23"/>
  <c r="E42" i="23"/>
  <c r="D42" i="23"/>
  <c r="E18" i="23"/>
  <c r="D18" i="23"/>
  <c r="E25" i="23"/>
  <c r="D25" i="23"/>
  <c r="Q60" i="12"/>
  <c r="R60" i="12" s="1"/>
  <c r="N60" i="12"/>
  <c r="Q47" i="12"/>
  <c r="R47" i="12" s="1"/>
  <c r="N47" i="12"/>
  <c r="Q46" i="12"/>
  <c r="R46" i="12" s="1"/>
  <c r="N46" i="12"/>
  <c r="Q43" i="12"/>
  <c r="R43" i="12" s="1"/>
  <c r="N43" i="12"/>
  <c r="Q61" i="12"/>
  <c r="R61" i="12" s="1"/>
  <c r="N61" i="12"/>
  <c r="A64" i="12"/>
  <c r="A75" i="12"/>
  <c r="A54" i="12"/>
  <c r="A76" i="12"/>
  <c r="N64" i="12"/>
  <c r="N75" i="12"/>
  <c r="N54" i="12"/>
  <c r="N70" i="12"/>
  <c r="N76" i="12"/>
  <c r="Q64" i="12"/>
  <c r="R64" i="12" s="1"/>
  <c r="Q75" i="12"/>
  <c r="R75" i="12" s="1"/>
  <c r="AB75" i="12" s="1"/>
  <c r="Q54" i="12"/>
  <c r="R54" i="12" s="1"/>
  <c r="Q70" i="12"/>
  <c r="R70" i="12" s="1"/>
  <c r="Q76" i="12"/>
  <c r="R76" i="12" s="1"/>
  <c r="A78" i="12"/>
  <c r="N78" i="12"/>
  <c r="Q78" i="12"/>
  <c r="R78" i="12" s="1"/>
  <c r="N49" i="12"/>
  <c r="Q49" i="12"/>
  <c r="R49" i="12" s="1"/>
  <c r="A39" i="12"/>
  <c r="N39" i="12"/>
  <c r="AB39" i="12" s="1"/>
  <c r="Q39" i="12"/>
  <c r="R39" i="12" s="1"/>
  <c r="A78" i="23" l="1"/>
  <c r="D78" i="23" s="1"/>
  <c r="A75" i="23"/>
  <c r="D75" i="23" s="1"/>
  <c r="A65" i="23"/>
  <c r="A76" i="23"/>
  <c r="E76" i="23" s="1"/>
  <c r="A77" i="23"/>
  <c r="A54" i="23"/>
  <c r="E54" i="23" s="1"/>
  <c r="A55" i="23"/>
  <c r="E78" i="23"/>
  <c r="T49" i="12"/>
  <c r="E53" i="23"/>
  <c r="D53" i="23"/>
  <c r="E44" i="23"/>
  <c r="E45" i="23"/>
  <c r="D45" i="23"/>
  <c r="E46" i="23"/>
  <c r="D46" i="23"/>
  <c r="E47" i="23"/>
  <c r="E48" i="23"/>
  <c r="E49" i="23"/>
  <c r="D49" i="23"/>
  <c r="AB78" i="12"/>
  <c r="AB76" i="12"/>
  <c r="T61" i="12"/>
  <c r="T46" i="12"/>
  <c r="AB46" i="12" s="1"/>
  <c r="T47" i="12"/>
  <c r="AB47" i="12" s="1"/>
  <c r="AB64" i="12"/>
  <c r="T60" i="12"/>
  <c r="AB60" i="12" s="1"/>
  <c r="T43" i="12"/>
  <c r="AB43" i="12" s="1"/>
  <c r="AB61" i="12"/>
  <c r="T54" i="12"/>
  <c r="AB54" i="12" s="1"/>
  <c r="AB70" i="12"/>
  <c r="AB49" i="12"/>
  <c r="AB32" i="12"/>
  <c r="AB33" i="12"/>
  <c r="AB34" i="12"/>
  <c r="AB36" i="12"/>
  <c r="A31" i="12"/>
  <c r="N31" i="12"/>
  <c r="Q31" i="12"/>
  <c r="R31" i="12" s="1"/>
  <c r="N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38" i="12"/>
  <c r="N28" i="12"/>
  <c r="N30" i="12"/>
  <c r="N29" i="12"/>
  <c r="N32" i="12"/>
  <c r="N33" i="12"/>
  <c r="N34" i="12"/>
  <c r="N35" i="12"/>
  <c r="N36" i="12"/>
  <c r="N37" i="12"/>
  <c r="N40" i="12"/>
  <c r="N50" i="12"/>
  <c r="N63" i="12"/>
  <c r="N72" i="12"/>
  <c r="N79" i="12"/>
  <c r="Q32" i="12"/>
  <c r="R32" i="12" s="1"/>
  <c r="E75" i="23" l="1"/>
  <c r="D76" i="23"/>
  <c r="A32" i="23"/>
  <c r="E32" i="23" s="1"/>
  <c r="D54" i="23"/>
  <c r="E77" i="23"/>
  <c r="D77" i="23"/>
  <c r="E65" i="23"/>
  <c r="D65" i="23"/>
  <c r="AB31" i="12"/>
  <c r="A30" i="12"/>
  <c r="Q30" i="12"/>
  <c r="R30" i="12" s="1"/>
  <c r="AB28" i="12"/>
  <c r="D32" i="23" l="1"/>
  <c r="A31" i="23"/>
  <c r="E31" i="23" s="1"/>
  <c r="AB30" i="12"/>
  <c r="A27" i="12"/>
  <c r="Q27" i="12"/>
  <c r="R27" i="12" s="1"/>
  <c r="AB27" i="12" s="1"/>
  <c r="A16" i="12"/>
  <c r="Q16" i="12"/>
  <c r="R16" i="12" s="1"/>
  <c r="AB16" i="12"/>
  <c r="AB2" i="12"/>
  <c r="AB15" i="12"/>
  <c r="AB18" i="12"/>
  <c r="AB17" i="12"/>
  <c r="AB22" i="12"/>
  <c r="AB25" i="12"/>
  <c r="AB26" i="12"/>
  <c r="AB29" i="12"/>
  <c r="AB40" i="12"/>
  <c r="AB50" i="12"/>
  <c r="AB63" i="12"/>
  <c r="AB72" i="12"/>
  <c r="AB79" i="12"/>
  <c r="D31" i="23" l="1"/>
  <c r="A17" i="23"/>
  <c r="D17" i="23" s="1"/>
  <c r="A72" i="12"/>
  <c r="A79" i="12"/>
  <c r="A50" i="12"/>
  <c r="A63" i="12"/>
  <c r="A28" i="12"/>
  <c r="A28" i="23" s="1"/>
  <c r="E28" i="23" s="1"/>
  <c r="A38" i="12"/>
  <c r="Q72" i="12"/>
  <c r="R72" i="12" s="1"/>
  <c r="Q79" i="12"/>
  <c r="R79" i="12" s="1"/>
  <c r="Q50" i="12"/>
  <c r="R50" i="12" s="1"/>
  <c r="Q63" i="12"/>
  <c r="R63" i="12" s="1"/>
  <c r="Q28" i="12"/>
  <c r="R28" i="12" s="1"/>
  <c r="Q38" i="12"/>
  <c r="R38" i="12" s="1"/>
  <c r="D28" i="23" l="1"/>
  <c r="A39" i="23"/>
  <c r="E39" i="23" s="1"/>
  <c r="A79" i="23"/>
  <c r="D79" i="23" s="1"/>
  <c r="A72" i="23"/>
  <c r="D72" i="23" s="1"/>
  <c r="A73" i="23"/>
  <c r="A63" i="23"/>
  <c r="E63" i="23" s="1"/>
  <c r="A64" i="23"/>
  <c r="A50" i="23"/>
  <c r="E50" i="23" s="1"/>
  <c r="A51" i="23"/>
  <c r="E43" i="23"/>
  <c r="E17" i="23"/>
  <c r="E59" i="23"/>
  <c r="D58" i="23"/>
  <c r="E57" i="23"/>
  <c r="E58" i="23"/>
  <c r="E55" i="23"/>
  <c r="D55" i="23"/>
  <c r="E56" i="23"/>
  <c r="D56" i="23"/>
  <c r="D59" i="23"/>
  <c r="A35" i="12"/>
  <c r="Q35" i="12"/>
  <c r="R35" i="12" s="1"/>
  <c r="Q17" i="12"/>
  <c r="R17" i="12" s="1"/>
  <c r="A15" i="12"/>
  <c r="Q15" i="12"/>
  <c r="R15" i="12" s="1"/>
  <c r="Q25" i="12"/>
  <c r="R25" i="12" s="1"/>
  <c r="Q24" i="12"/>
  <c r="R24" i="12" s="1"/>
  <c r="Q18" i="12"/>
  <c r="R18" i="12" s="1"/>
  <c r="E79" i="23" l="1"/>
  <c r="D50" i="23"/>
  <c r="E72" i="23"/>
  <c r="A16" i="23"/>
  <c r="E16" i="23" s="1"/>
  <c r="E64" i="23"/>
  <c r="D64" i="23"/>
  <c r="D63" i="23"/>
  <c r="D51" i="23"/>
  <c r="E51" i="23"/>
  <c r="D73" i="23"/>
  <c r="E73" i="23"/>
  <c r="D43" i="23"/>
  <c r="D57" i="23"/>
  <c r="D39" i="23"/>
  <c r="AB35" i="12"/>
  <c r="T24" i="12"/>
  <c r="AB24" i="12" s="1"/>
  <c r="A21" i="12"/>
  <c r="Q21" i="12"/>
  <c r="R21" i="12" s="1"/>
  <c r="A3" i="12"/>
  <c r="A4" i="12"/>
  <c r="A5" i="12"/>
  <c r="A6" i="12"/>
  <c r="A7" i="12"/>
  <c r="A8" i="12"/>
  <c r="A2" i="12"/>
  <c r="A9" i="12"/>
  <c r="A10" i="12"/>
  <c r="A11" i="12"/>
  <c r="A12" i="12"/>
  <c r="A13" i="12"/>
  <c r="A14" i="12"/>
  <c r="A19" i="12"/>
  <c r="A19" i="23" s="1"/>
  <c r="A20" i="12"/>
  <c r="A23" i="12"/>
  <c r="A23" i="23" s="1"/>
  <c r="A26" i="12"/>
  <c r="A26" i="23" s="1"/>
  <c r="A29" i="12"/>
  <c r="A29" i="23" s="1"/>
  <c r="D29" i="23" s="1"/>
  <c r="A34" i="12"/>
  <c r="A33" i="12"/>
  <c r="A33" i="23" s="1"/>
  <c r="A36" i="12"/>
  <c r="A36" i="23" s="1"/>
  <c r="E36" i="23" s="1"/>
  <c r="A37" i="12"/>
  <c r="A40" i="12"/>
  <c r="A40" i="23" s="1"/>
  <c r="E26" i="23" l="1"/>
  <c r="D26" i="23"/>
  <c r="E23" i="23"/>
  <c r="D23" i="23"/>
  <c r="E40" i="23"/>
  <c r="D40" i="23"/>
  <c r="E29" i="23"/>
  <c r="E19" i="23"/>
  <c r="D19" i="23"/>
  <c r="E33" i="23"/>
  <c r="D33" i="23"/>
  <c r="D36" i="23"/>
  <c r="A37" i="23"/>
  <c r="D37" i="23" s="1"/>
  <c r="A15" i="23"/>
  <c r="B15" i="23" s="1"/>
  <c r="A11" i="23"/>
  <c r="D11" i="23" s="1"/>
  <c r="A4" i="23"/>
  <c r="D4" i="23" s="1"/>
  <c r="A34" i="23"/>
  <c r="E34" i="23" s="1"/>
  <c r="A24" i="23"/>
  <c r="C24" i="23" s="1"/>
  <c r="A14" i="23"/>
  <c r="B14" i="23" s="1"/>
  <c r="A10" i="23"/>
  <c r="D10" i="23" s="1"/>
  <c r="A7" i="23"/>
  <c r="C7" i="23" s="1"/>
  <c r="A27" i="23"/>
  <c r="D27" i="23" s="1"/>
  <c r="A8" i="23"/>
  <c r="C8" i="23" s="1"/>
  <c r="A41" i="23"/>
  <c r="C41" i="23" s="1"/>
  <c r="A35" i="23"/>
  <c r="B35" i="23" s="1"/>
  <c r="A21" i="23"/>
  <c r="C21" i="23" s="1"/>
  <c r="A13" i="23"/>
  <c r="B13" i="23" s="1"/>
  <c r="A6" i="23"/>
  <c r="D6" i="23" s="1"/>
  <c r="A22" i="23"/>
  <c r="C22" i="23" s="1"/>
  <c r="A38" i="23"/>
  <c r="B38" i="23" s="1"/>
  <c r="A30" i="23"/>
  <c r="B30" i="23" s="1"/>
  <c r="A20" i="23"/>
  <c r="B20" i="23" s="1"/>
  <c r="A12" i="23"/>
  <c r="B12" i="23" s="1"/>
  <c r="A9" i="23"/>
  <c r="B9" i="23" s="1"/>
  <c r="A5" i="23"/>
  <c r="C5" i="23" s="1"/>
  <c r="B53" i="23"/>
  <c r="B51" i="23"/>
  <c r="B52" i="23"/>
  <c r="B57" i="23"/>
  <c r="B49" i="23"/>
  <c r="B61" i="23"/>
  <c r="B60" i="23"/>
  <c r="B58" i="23"/>
  <c r="B59" i="23"/>
  <c r="B50" i="23"/>
  <c r="B56" i="23"/>
  <c r="B54" i="23"/>
  <c r="B55" i="23"/>
  <c r="F35" i="28"/>
  <c r="B11" i="28"/>
  <c r="B12" i="28"/>
  <c r="E18" i="28"/>
  <c r="B18" i="28"/>
  <c r="H24" i="14"/>
  <c r="K24" i="14"/>
  <c r="C24" i="14"/>
  <c r="L24" i="14"/>
  <c r="F24" i="14"/>
  <c r="E24" i="14"/>
  <c r="M24" i="14"/>
  <c r="G24" i="14"/>
  <c r="B24" i="14"/>
  <c r="D24" i="14"/>
  <c r="C25" i="23"/>
  <c r="C33" i="23"/>
  <c r="C65" i="23"/>
  <c r="C69" i="23"/>
  <c r="C73" i="23"/>
  <c r="C77" i="23"/>
  <c r="B16" i="23"/>
  <c r="B64" i="23"/>
  <c r="B68" i="23"/>
  <c r="B72" i="23"/>
  <c r="B76" i="23"/>
  <c r="C16" i="23"/>
  <c r="C28" i="23"/>
  <c r="C56" i="23"/>
  <c r="C68" i="23"/>
  <c r="C76" i="23"/>
  <c r="C18" i="23"/>
  <c r="C26" i="23"/>
  <c r="C42" i="23"/>
  <c r="C54" i="23"/>
  <c r="C62" i="23"/>
  <c r="C66" i="23"/>
  <c r="C70" i="23"/>
  <c r="C74" i="23"/>
  <c r="C78" i="23"/>
  <c r="B25" i="23"/>
  <c r="B33" i="23"/>
  <c r="B65" i="23"/>
  <c r="B69" i="23"/>
  <c r="B73" i="23"/>
  <c r="B77" i="23"/>
  <c r="A3" i="23"/>
  <c r="C19" i="23"/>
  <c r="C23" i="23"/>
  <c r="C39" i="23"/>
  <c r="C43" i="23"/>
  <c r="C51" i="23"/>
  <c r="C63" i="23"/>
  <c r="C67" i="23"/>
  <c r="C71" i="23"/>
  <c r="C75" i="23"/>
  <c r="C79" i="23"/>
  <c r="B18" i="23"/>
  <c r="B26" i="23"/>
  <c r="B42" i="23"/>
  <c r="B62" i="23"/>
  <c r="B66" i="23"/>
  <c r="B70" i="23"/>
  <c r="B74" i="23"/>
  <c r="B78" i="23"/>
  <c r="C32" i="23"/>
  <c r="C52" i="23"/>
  <c r="C64" i="23"/>
  <c r="C72" i="23"/>
  <c r="B47" i="23"/>
  <c r="B63" i="23"/>
  <c r="B79" i="23"/>
  <c r="B19" i="23"/>
  <c r="B67" i="23"/>
  <c r="B23" i="23"/>
  <c r="B39" i="23"/>
  <c r="B71" i="23"/>
  <c r="B27" i="23"/>
  <c r="B43" i="23"/>
  <c r="B75" i="23"/>
  <c r="B28" i="23"/>
  <c r="C46" i="23"/>
  <c r="C29" i="23"/>
  <c r="C57" i="23"/>
  <c r="B36" i="23"/>
  <c r="C45" i="23"/>
  <c r="C53" i="23"/>
  <c r="B31" i="23"/>
  <c r="C55" i="23"/>
  <c r="C17" i="23"/>
  <c r="B40" i="23"/>
  <c r="C58" i="23"/>
  <c r="C59" i="23"/>
  <c r="B24" i="23"/>
  <c r="C31" i="23"/>
  <c r="B29" i="23"/>
  <c r="B32" i="23"/>
  <c r="C50" i="23"/>
  <c r="B44" i="23"/>
  <c r="C36" i="23"/>
  <c r="B45" i="23"/>
  <c r="B17" i="23"/>
  <c r="C15" i="23"/>
  <c r="C37" i="23"/>
  <c r="B48" i="23"/>
  <c r="C49" i="23"/>
  <c r="B46" i="23"/>
  <c r="C40" i="23"/>
  <c r="D16" i="23"/>
  <c r="B8" i="25"/>
  <c r="B4" i="25"/>
  <c r="B7" i="25"/>
  <c r="B5" i="25"/>
  <c r="B9" i="25"/>
  <c r="B6" i="25"/>
  <c r="B15" i="24"/>
  <c r="B7" i="24"/>
  <c r="B10" i="24"/>
  <c r="B13" i="24"/>
  <c r="B17" i="24"/>
  <c r="B21" i="24"/>
  <c r="B25" i="24"/>
  <c r="B8" i="24"/>
  <c r="B11" i="24"/>
  <c r="B14" i="24"/>
  <c r="B18" i="24"/>
  <c r="B22" i="24"/>
  <c r="B26" i="24"/>
  <c r="B9" i="24"/>
  <c r="B12" i="24"/>
  <c r="B19" i="24"/>
  <c r="B23" i="24"/>
  <c r="B5" i="24"/>
  <c r="B6" i="24"/>
  <c r="B16" i="24"/>
  <c r="B20" i="24"/>
  <c r="B24" i="24"/>
  <c r="D21" i="23"/>
  <c r="E24" i="23"/>
  <c r="I16" i="14"/>
  <c r="A16" i="14"/>
  <c r="H23" i="14"/>
  <c r="L23" i="14"/>
  <c r="E23" i="14"/>
  <c r="G23" i="14"/>
  <c r="K23" i="14"/>
  <c r="B23" i="14"/>
  <c r="D23" i="14"/>
  <c r="M23" i="14"/>
  <c r="F23" i="14"/>
  <c r="C23" i="14"/>
  <c r="K16" i="14"/>
  <c r="C16" i="14"/>
  <c r="T21" i="12"/>
  <c r="AB21" i="12" s="1"/>
  <c r="Q2" i="12"/>
  <c r="R2" i="12" s="1"/>
  <c r="E35" i="23" l="1"/>
  <c r="E27" i="23"/>
  <c r="B21" i="23"/>
  <c r="D41" i="23"/>
  <c r="Z41" i="12" s="1"/>
  <c r="E10" i="23"/>
  <c r="E4" i="23"/>
  <c r="B10" i="23"/>
  <c r="B4" i="23"/>
  <c r="C10" i="23"/>
  <c r="D8" i="23"/>
  <c r="C13" i="23"/>
  <c r="C11" i="23"/>
  <c r="E14" i="23"/>
  <c r="E11" i="23"/>
  <c r="E21" i="23"/>
  <c r="B11" i="23"/>
  <c r="D14" i="23"/>
  <c r="E8" i="23"/>
  <c r="C14" i="23"/>
  <c r="D13" i="23"/>
  <c r="Z13" i="12" s="1"/>
  <c r="C27" i="23"/>
  <c r="B8" i="23"/>
  <c r="D24" i="23"/>
  <c r="Z24" i="12" s="1"/>
  <c r="E13" i="23"/>
  <c r="E37" i="23"/>
  <c r="AA36" i="12" s="1"/>
  <c r="C35" i="23"/>
  <c r="C34" i="23"/>
  <c r="B7" i="23"/>
  <c r="D7" i="23"/>
  <c r="Z6" i="12" s="1"/>
  <c r="D34" i="23"/>
  <c r="Z33" i="12" s="1"/>
  <c r="E41" i="23"/>
  <c r="AA40" i="12" s="1"/>
  <c r="B41" i="23"/>
  <c r="B37" i="23"/>
  <c r="C4" i="23"/>
  <c r="B34" i="23"/>
  <c r="E7" i="23"/>
  <c r="D35" i="23"/>
  <c r="Z35" i="12" s="1"/>
  <c r="B22" i="23"/>
  <c r="B6" i="23"/>
  <c r="C6" i="23"/>
  <c r="E9" i="23"/>
  <c r="AA60" i="12" s="1"/>
  <c r="C9" i="23"/>
  <c r="C20" i="23"/>
  <c r="C38" i="23"/>
  <c r="B5" i="23"/>
  <c r="C12" i="23"/>
  <c r="E12" i="23"/>
  <c r="AA46" i="12" s="1"/>
  <c r="D30" i="23"/>
  <c r="Z29" i="12" s="1"/>
  <c r="C30" i="23"/>
  <c r="E5" i="23"/>
  <c r="AA4" i="12" s="1"/>
  <c r="E22" i="23"/>
  <c r="AA43" i="12" s="1"/>
  <c r="Z48" i="12"/>
  <c r="AA48" i="12"/>
  <c r="Z66" i="12"/>
  <c r="Z74" i="12"/>
  <c r="Z73" i="12"/>
  <c r="Z65" i="12"/>
  <c r="Z67" i="12"/>
  <c r="Z68" i="12"/>
  <c r="Z70" i="12"/>
  <c r="Z69" i="12"/>
  <c r="Z71" i="12"/>
  <c r="Z62" i="12"/>
  <c r="Z77" i="12"/>
  <c r="Z52" i="12"/>
  <c r="Z53" i="12"/>
  <c r="Z78" i="12"/>
  <c r="Z51" i="12"/>
  <c r="Z64" i="12"/>
  <c r="Z75" i="12"/>
  <c r="Z49" i="12"/>
  <c r="Z45" i="12"/>
  <c r="Z44" i="12"/>
  <c r="Z54" i="12"/>
  <c r="Z76" i="12"/>
  <c r="Z56" i="12"/>
  <c r="Z58" i="12"/>
  <c r="Z79" i="12"/>
  <c r="Z59" i="12"/>
  <c r="Z63" i="12"/>
  <c r="Z50" i="12"/>
  <c r="Z55" i="12"/>
  <c r="Z72" i="12"/>
  <c r="Z42" i="12"/>
  <c r="Z57" i="12"/>
  <c r="AA65" i="12"/>
  <c r="AA45" i="12"/>
  <c r="AA64" i="12"/>
  <c r="AA51" i="12"/>
  <c r="AA71" i="12"/>
  <c r="AA58" i="12"/>
  <c r="AA59" i="12"/>
  <c r="AA74" i="12"/>
  <c r="AA44" i="12"/>
  <c r="AA67" i="12"/>
  <c r="AA69" i="12"/>
  <c r="AA57" i="12"/>
  <c r="AA62" i="12"/>
  <c r="AA73" i="12"/>
  <c r="AA77" i="12"/>
  <c r="AA42" i="12"/>
  <c r="AA56" i="12"/>
  <c r="AA68" i="12"/>
  <c r="AA9" i="12"/>
  <c r="AA23" i="12"/>
  <c r="AA53" i="12"/>
  <c r="Z26" i="12"/>
  <c r="Z7" i="12"/>
  <c r="AA34" i="12"/>
  <c r="AA52" i="12"/>
  <c r="AA33" i="12"/>
  <c r="AA26" i="12"/>
  <c r="Z40" i="12"/>
  <c r="AA35" i="12"/>
  <c r="Z23" i="12"/>
  <c r="Z10" i="12"/>
  <c r="Z36" i="12"/>
  <c r="AA28" i="12"/>
  <c r="C3" i="23"/>
  <c r="B3" i="23"/>
  <c r="AA24" i="12"/>
  <c r="Z32" i="12"/>
  <c r="AA25" i="12"/>
  <c r="Z17" i="12"/>
  <c r="AA17" i="12"/>
  <c r="Z25" i="12"/>
  <c r="AA49" i="12"/>
  <c r="Z18" i="12"/>
  <c r="AA18" i="12"/>
  <c r="AA32" i="12"/>
  <c r="AA55" i="12"/>
  <c r="Z39" i="12"/>
  <c r="AA39" i="12"/>
  <c r="AA54" i="12"/>
  <c r="AA66" i="12"/>
  <c r="AA75" i="12"/>
  <c r="AA70" i="12"/>
  <c r="AA31" i="12"/>
  <c r="Z31" i="12"/>
  <c r="AA27" i="12"/>
  <c r="Z27" i="12"/>
  <c r="Z16" i="12"/>
  <c r="AA16" i="12"/>
  <c r="AA50" i="12"/>
  <c r="Z28" i="12"/>
  <c r="AA76" i="12"/>
  <c r="AA78" i="12"/>
  <c r="AA63" i="12"/>
  <c r="AA79" i="12"/>
  <c r="AA72" i="12"/>
  <c r="D38" i="23"/>
  <c r="Z37" i="12" s="1"/>
  <c r="D9" i="23"/>
  <c r="D15" i="23"/>
  <c r="D12" i="23"/>
  <c r="Z11" i="12" s="1"/>
  <c r="E38" i="23"/>
  <c r="D20" i="23"/>
  <c r="Z19" i="12" s="1"/>
  <c r="E15" i="23"/>
  <c r="E20" i="23"/>
  <c r="AA19" i="12" s="1"/>
  <c r="E30" i="23"/>
  <c r="AA29" i="12" s="1"/>
  <c r="D5" i="23"/>
  <c r="Z4" i="12" s="1"/>
  <c r="D22" i="23"/>
  <c r="Z22" i="12" s="1"/>
  <c r="E6" i="23"/>
  <c r="E3" i="23"/>
  <c r="D3" i="23"/>
  <c r="Z3" i="12" s="1"/>
  <c r="B10" i="19"/>
  <c r="B9" i="19"/>
  <c r="B12" i="19"/>
  <c r="AA14" i="12" l="1"/>
  <c r="Z14" i="12"/>
  <c r="AA37" i="12"/>
  <c r="AA61" i="12"/>
  <c r="AA5" i="12"/>
  <c r="AA12" i="12"/>
  <c r="AA22" i="12"/>
  <c r="AA41" i="12"/>
  <c r="AA3" i="12"/>
  <c r="Z30" i="12"/>
  <c r="AA30" i="12"/>
  <c r="AA8" i="12"/>
  <c r="Z34" i="12"/>
  <c r="Z8" i="12"/>
  <c r="AA11" i="12"/>
  <c r="Z20" i="12"/>
  <c r="AA47" i="12"/>
  <c r="Z9" i="12"/>
  <c r="Z12" i="12"/>
  <c r="Z38" i="12"/>
  <c r="AA20" i="12"/>
  <c r="AA6" i="12"/>
  <c r="AA38" i="12"/>
  <c r="Z15" i="12"/>
  <c r="Z5" i="12"/>
  <c r="AA15" i="12"/>
  <c r="AA7" i="12"/>
  <c r="AA13" i="12"/>
  <c r="AA10" i="12"/>
  <c r="C80" i="23"/>
  <c r="AA21" i="12"/>
  <c r="Z21" i="12"/>
  <c r="AA2" i="12"/>
  <c r="E80" i="23"/>
  <c r="Z2" i="12"/>
  <c r="D80" i="23"/>
  <c r="B13" i="19"/>
  <c r="Q22" i="12"/>
  <c r="R22" i="12" s="1"/>
  <c r="AA80" i="12" l="1"/>
  <c r="Z80" i="12"/>
  <c r="Q3" i="12"/>
  <c r="R3" i="12" s="1"/>
  <c r="Q4" i="12"/>
  <c r="R4" i="12" s="1"/>
  <c r="Q34" i="12"/>
  <c r="R34" i="12" s="1"/>
  <c r="Q5" i="12"/>
  <c r="R5" i="12" s="1"/>
  <c r="Q19" i="12"/>
  <c r="R19" i="12" s="1"/>
  <c r="Q26" i="12"/>
  <c r="R26" i="12" s="1"/>
  <c r="Q29" i="12"/>
  <c r="R29" i="12" s="1"/>
  <c r="Q36" i="12"/>
  <c r="R36" i="12" s="1"/>
  <c r="Q40" i="12"/>
  <c r="R40" i="12" s="1"/>
  <c r="Q6" i="12"/>
  <c r="R6" i="12" s="1"/>
  <c r="Q20" i="12"/>
  <c r="R20" i="12" s="1"/>
  <c r="Q11" i="12"/>
  <c r="R11" i="12" s="1"/>
  <c r="Q7" i="12"/>
  <c r="R7" i="12" s="1"/>
  <c r="Q14" i="12"/>
  <c r="R14" i="12" s="1"/>
  <c r="Q37" i="12"/>
  <c r="R37" i="12" s="1"/>
  <c r="Q12" i="12"/>
  <c r="R12" i="12" s="1"/>
  <c r="Q13" i="12"/>
  <c r="R13" i="12" s="1"/>
  <c r="Q9" i="12"/>
  <c r="R9" i="12" s="1"/>
  <c r="Q10" i="12"/>
  <c r="R10" i="12" s="1"/>
  <c r="Q23" i="12"/>
  <c r="R23" i="12" s="1"/>
  <c r="Q8" i="12"/>
  <c r="R8" i="12" s="1"/>
  <c r="Q33" i="12"/>
  <c r="R33" i="12" s="1"/>
  <c r="B40" i="14"/>
  <c r="T23" i="12" l="1"/>
  <c r="T12" i="12"/>
  <c r="T11" i="12"/>
  <c r="T10" i="12"/>
  <c r="T37" i="12"/>
  <c r="T20" i="12"/>
  <c r="T9" i="12"/>
  <c r="AB4" i="12"/>
  <c r="T14" i="12"/>
  <c r="AB6" i="12"/>
  <c r="T8" i="12"/>
  <c r="T13" i="12"/>
  <c r="T7" i="12"/>
  <c r="AB19" i="12"/>
  <c r="T3" i="12"/>
  <c r="N10" i="18"/>
  <c r="N11" i="18"/>
  <c r="A10" i="18"/>
  <c r="A11" i="18"/>
  <c r="Q10" i="18"/>
  <c r="R10" i="18" s="1"/>
  <c r="T10" i="18" s="1"/>
  <c r="Q11" i="18"/>
  <c r="R11" i="18" s="1"/>
  <c r="X10" i="18"/>
  <c r="X11" i="18"/>
  <c r="A6" i="18"/>
  <c r="A7" i="18"/>
  <c r="A8" i="18"/>
  <c r="A9" i="18"/>
  <c r="N6" i="18"/>
  <c r="N7" i="18"/>
  <c r="N8" i="18"/>
  <c r="N9" i="18"/>
  <c r="Q6" i="18"/>
  <c r="R6" i="18" s="1"/>
  <c r="T6" i="18" s="1"/>
  <c r="Q7" i="18"/>
  <c r="R7" i="18" s="1"/>
  <c r="Q8" i="18"/>
  <c r="R8" i="18" s="1"/>
  <c r="Q9" i="18"/>
  <c r="R9" i="18" s="1"/>
  <c r="X6" i="18"/>
  <c r="X7" i="18"/>
  <c r="X8" i="18"/>
  <c r="X9" i="18"/>
  <c r="X28" i="18"/>
  <c r="Q28" i="18"/>
  <c r="R28" i="18" s="1"/>
  <c r="N28" i="18"/>
  <c r="A28" i="18"/>
  <c r="A16" i="18"/>
  <c r="N16" i="18"/>
  <c r="T16" i="18" s="1"/>
  <c r="Q16" i="18"/>
  <c r="R16" i="18" s="1"/>
  <c r="X16" i="18"/>
  <c r="V30" i="18"/>
  <c r="X29" i="18"/>
  <c r="Q29" i="18"/>
  <c r="R29" i="18" s="1"/>
  <c r="N29" i="18"/>
  <c r="T29" i="18" s="1"/>
  <c r="A29" i="18"/>
  <c r="X27" i="18"/>
  <c r="Q27" i="18"/>
  <c r="R27" i="18" s="1"/>
  <c r="N27" i="18"/>
  <c r="T27" i="18" s="1"/>
  <c r="A27" i="18"/>
  <c r="X26" i="18"/>
  <c r="Q26" i="18"/>
  <c r="R26" i="18" s="1"/>
  <c r="N26" i="18"/>
  <c r="A26" i="18"/>
  <c r="X25" i="18"/>
  <c r="Q25" i="18"/>
  <c r="R25" i="18" s="1"/>
  <c r="N25" i="18"/>
  <c r="T25" i="18" s="1"/>
  <c r="A25" i="18"/>
  <c r="X24" i="18"/>
  <c r="Q24" i="18"/>
  <c r="R24" i="18" s="1"/>
  <c r="N24" i="18"/>
  <c r="T24" i="18" s="1"/>
  <c r="A24" i="18"/>
  <c r="X23" i="18"/>
  <c r="Q23" i="18"/>
  <c r="R23" i="18" s="1"/>
  <c r="N23" i="18"/>
  <c r="T23" i="18" s="1"/>
  <c r="A23" i="18"/>
  <c r="X22" i="18"/>
  <c r="Q22" i="18"/>
  <c r="R22" i="18" s="1"/>
  <c r="N22" i="18"/>
  <c r="A22" i="18"/>
  <c r="X21" i="18"/>
  <c r="Q21" i="18"/>
  <c r="R21" i="18" s="1"/>
  <c r="N21" i="18"/>
  <c r="T21" i="18" s="1"/>
  <c r="A21" i="18"/>
  <c r="X20" i="18"/>
  <c r="Q20" i="18"/>
  <c r="R20" i="18" s="1"/>
  <c r="N20" i="18"/>
  <c r="T20" i="18" s="1"/>
  <c r="A20" i="18"/>
  <c r="X19" i="18"/>
  <c r="Q19" i="18"/>
  <c r="R19" i="18" s="1"/>
  <c r="N19" i="18"/>
  <c r="T19" i="18" s="1"/>
  <c r="A19" i="18"/>
  <c r="X18" i="18"/>
  <c r="Q18" i="18"/>
  <c r="R18" i="18" s="1"/>
  <c r="N18" i="18"/>
  <c r="T18" i="18" s="1"/>
  <c r="A18" i="18"/>
  <c r="X17" i="18"/>
  <c r="Q17" i="18"/>
  <c r="R17" i="18" s="1"/>
  <c r="N17" i="18"/>
  <c r="T17" i="18" s="1"/>
  <c r="A17" i="18"/>
  <c r="X15" i="18"/>
  <c r="Q15" i="18"/>
  <c r="R15" i="18" s="1"/>
  <c r="N15" i="18"/>
  <c r="T15" i="18" s="1"/>
  <c r="A15" i="18"/>
  <c r="X14" i="18"/>
  <c r="Q14" i="18"/>
  <c r="R14" i="18" s="1"/>
  <c r="N14" i="18"/>
  <c r="A14" i="18"/>
  <c r="X13" i="18"/>
  <c r="Q13" i="18"/>
  <c r="R13" i="18" s="1"/>
  <c r="N13" i="18"/>
  <c r="T13" i="18" s="1"/>
  <c r="A13" i="18"/>
  <c r="X12" i="18"/>
  <c r="Q12" i="18"/>
  <c r="R12" i="18" s="1"/>
  <c r="N12" i="18"/>
  <c r="T12" i="18" s="1"/>
  <c r="A12" i="18"/>
  <c r="X5" i="18"/>
  <c r="Q5" i="18"/>
  <c r="N5" i="18"/>
  <c r="T5" i="18" s="1"/>
  <c r="A5" i="18"/>
  <c r="X4" i="18"/>
  <c r="Q4" i="18"/>
  <c r="R4" i="18" s="1"/>
  <c r="N4" i="18"/>
  <c r="T4" i="18" s="1"/>
  <c r="A4" i="18"/>
  <c r="X3" i="18"/>
  <c r="Q3" i="18"/>
  <c r="R3" i="18" s="1"/>
  <c r="N3" i="18"/>
  <c r="T3" i="18" s="1"/>
  <c r="A3" i="18"/>
  <c r="B8" i="16"/>
  <c r="C67" i="16" s="1"/>
  <c r="D6" i="16"/>
  <c r="D7" i="16"/>
  <c r="D5" i="16"/>
  <c r="B59" i="16"/>
  <c r="B54" i="16"/>
  <c r="B49" i="16"/>
  <c r="B43" i="16"/>
  <c r="B38" i="16"/>
  <c r="B35" i="16"/>
  <c r="B30" i="16"/>
  <c r="B25" i="16"/>
  <c r="B15" i="16"/>
  <c r="B11" i="16"/>
  <c r="B19" i="16"/>
  <c r="T9" i="18" l="1"/>
  <c r="T14" i="18"/>
  <c r="T22" i="18"/>
  <c r="T26" i="18"/>
  <c r="T28" i="18"/>
  <c r="T8" i="18"/>
  <c r="T11" i="18"/>
  <c r="T7" i="18"/>
  <c r="AB37" i="12"/>
  <c r="AB9" i="12"/>
  <c r="AB20" i="12"/>
  <c r="AB11" i="12"/>
  <c r="AB8" i="12"/>
  <c r="AB5" i="12"/>
  <c r="AB7" i="12"/>
  <c r="AB14" i="12"/>
  <c r="AB12" i="12"/>
  <c r="AB13" i="12"/>
  <c r="AB10" i="12"/>
  <c r="AB23" i="12"/>
  <c r="AB3" i="12"/>
  <c r="D8" i="16"/>
  <c r="C15" i="16" s="1"/>
  <c r="C69" i="16"/>
  <c r="X30" i="18"/>
  <c r="C38" i="16"/>
  <c r="C25" i="16"/>
  <c r="C43" i="16"/>
  <c r="C35" i="16"/>
  <c r="C54" i="16"/>
  <c r="C70" i="16"/>
  <c r="C68" i="16"/>
  <c r="C59" i="16"/>
  <c r="AB80" i="12" l="1"/>
  <c r="C71" i="16"/>
  <c r="C11" i="16"/>
  <c r="C49" i="16"/>
  <c r="C19" i="16"/>
  <c r="C63" i="16" s="1"/>
  <c r="C30" i="16"/>
  <c r="C73" i="16" l="1"/>
  <c r="X31" i="18" s="1"/>
  <c r="X32" i="18" s="1"/>
  <c r="B5" i="19"/>
  <c r="B3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7" authorId="0" shapeId="0" xr:uid="{CBFE6401-E3A1-41B3-B089-D328F456D165}">
      <text>
        <r>
          <rPr>
            <b/>
            <sz val="9"/>
            <color indexed="81"/>
            <rFont val="Segoe UI"/>
            <family val="2"/>
          </rPr>
          <t xml:space="preserve">1º Data: 06/08
</t>
        </r>
        <r>
          <rPr>
            <sz val="9"/>
            <color indexed="81"/>
            <rFont val="Segoe UI"/>
            <family val="2"/>
          </rPr>
          <t xml:space="preserve">
Reposição: 14/05; 19/05; 21/05;26/05; </t>
        </r>
      </text>
    </comment>
    <comment ref="T27" authorId="0" shapeId="0" xr:uid="{0EFB4929-47B9-4698-B3EC-5E53121EC7F9}">
      <text>
        <r>
          <rPr>
            <b/>
            <sz val="9"/>
            <color indexed="81"/>
            <rFont val="Segoe UI"/>
            <family val="2"/>
          </rPr>
          <t xml:space="preserve">1º Data Prevista - 16/06/2025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28" authorId="0" shapeId="0" xr:uid="{517752E4-C1C3-43A4-913C-C83210DF2D6B}">
      <text>
        <r>
          <rPr>
            <b/>
            <sz val="9"/>
            <color indexed="81"/>
            <rFont val="Segoe UI"/>
            <family val="2"/>
          </rPr>
          <t>1º Previsão: 31/07
Reposição: 17/04; 08/05;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0" authorId="0" shapeId="0" xr:uid="{A011A81A-D066-4084-B814-FFFCE7E2E796}">
      <text>
        <r>
          <rPr>
            <b/>
            <sz val="9"/>
            <color indexed="81"/>
            <rFont val="Segoe UI"/>
            <family val="2"/>
          </rPr>
          <t xml:space="preserve">1º Data prevista - 22/08
Reposição - 30/05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8" authorId="0" shapeId="0" xr:uid="{F2B55EE2-A8A0-4EBD-A91C-7500B6CE78DE}">
      <text>
        <r>
          <rPr>
            <b/>
            <sz val="9"/>
            <color indexed="81"/>
            <rFont val="Segoe UI"/>
            <family val="2"/>
          </rPr>
          <t>1º Data prevista - 27/10
Reposição: 29/05;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user</author>
  </authors>
  <commentList>
    <comment ref="E5" authorId="0" shapeId="0" xr:uid="{86918260-7A3D-4FF8-BB29-93F40DBBF48B}">
      <text>
        <r>
          <rPr>
            <sz val="9"/>
            <color indexed="62"/>
            <rFont val="Tahoma"/>
            <family val="2"/>
          </rPr>
          <t>Ano Novo</t>
        </r>
      </text>
    </comment>
    <comment ref="C14" authorId="0" shapeId="0" xr:uid="{416737AE-F2DA-4F73-81B7-0A93DFBFF299}">
      <text>
        <r>
          <rPr>
            <sz val="9"/>
            <color indexed="62"/>
            <rFont val="Tahoma"/>
            <family val="2"/>
          </rPr>
          <t>Carnaval (Segunda-Feira)</t>
        </r>
      </text>
    </comment>
    <comment ref="D14" authorId="0" shapeId="0" xr:uid="{50FAA85C-6959-4073-AF03-5B929D5B1B66}">
      <text>
        <r>
          <rPr>
            <sz val="9"/>
            <color indexed="62"/>
            <rFont val="Tahoma"/>
            <family val="2"/>
          </rPr>
          <t>Carnaval (Terça-Feira)</t>
        </r>
      </text>
    </comment>
    <comment ref="O15" authorId="0" shapeId="0" xr:uid="{D5069C8A-067A-4418-B729-51F4FD0806B1}">
      <text>
        <r>
          <rPr>
            <sz val="9"/>
            <color indexed="62"/>
            <rFont val="Tahoma"/>
            <family val="2"/>
          </rPr>
          <t>Sexta-Feira Santa</t>
        </r>
      </text>
    </comment>
    <comment ref="K16" authorId="0" shapeId="0" xr:uid="{A6655E17-F17A-481C-BD11-E90FD3AF3FF9}">
      <text>
        <r>
          <rPr>
            <sz val="9"/>
            <color indexed="62"/>
            <rFont val="Tahoma"/>
            <family val="2"/>
          </rPr>
          <t>Tiradentes</t>
        </r>
      </text>
    </comment>
    <comment ref="F22" authorId="0" shapeId="0" xr:uid="{B228A2DE-8726-452D-BB2D-941E5D30787E}">
      <text>
        <r>
          <rPr>
            <sz val="9"/>
            <color indexed="62"/>
            <rFont val="Tahoma"/>
            <family val="2"/>
          </rPr>
          <t>Dia do Trabalho</t>
        </r>
      </text>
    </comment>
    <comment ref="N24" authorId="0" shapeId="0" xr:uid="{4F427BBD-D39A-4335-883E-BF3926518ED6}">
      <text>
        <r>
          <rPr>
            <sz val="9"/>
            <color indexed="62"/>
            <rFont val="Tahoma"/>
            <family val="2"/>
          </rPr>
          <t>Corpus Christi</t>
        </r>
      </text>
    </comment>
    <comment ref="E31" authorId="1" shapeId="0" xr:uid="{23D950EF-AD03-4762-893B-771859CACB70}">
      <text>
        <r>
          <rPr>
            <b/>
            <sz val="9"/>
            <color indexed="81"/>
            <rFont val="Segoe UI"/>
            <family val="2"/>
          </rPr>
          <t>Revolução 32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33" authorId="1" shapeId="0" xr:uid="{59338EEB-D035-49AF-8EFF-FF2F86493144}">
      <text>
        <r>
          <rPr>
            <b/>
            <sz val="9"/>
            <color indexed="81"/>
            <rFont val="Segoe UI"/>
            <family val="2"/>
          </rPr>
          <t>Sant'Ana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39" authorId="1" shapeId="0" xr:uid="{DAFED2B3-51C2-4C28-9019-FCE73D320E6F}">
      <text>
        <r>
          <rPr>
            <b/>
            <sz val="9"/>
            <color indexed="81"/>
            <rFont val="Segoe UI"/>
            <family val="2"/>
          </rPr>
          <t>Aniversário de Mogi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0" authorId="0" shapeId="0" xr:uid="{E427B0AE-F095-4C7D-9D26-ACCA49AEEABB}">
      <text>
        <r>
          <rPr>
            <sz val="9"/>
            <color indexed="62"/>
            <rFont val="Tahoma"/>
            <family val="2"/>
          </rPr>
          <t>Independência do Brasil</t>
        </r>
      </text>
    </comment>
    <comment ref="J41" authorId="0" shapeId="0" xr:uid="{5AB8EA72-4941-4689-A260-6B51DF0D2DD4}">
      <text>
        <r>
          <rPr>
            <sz val="9"/>
            <color indexed="62"/>
            <rFont val="Tahoma"/>
            <family val="2"/>
          </rPr>
          <t>Nossa Senhora de Aparecida</t>
        </r>
      </text>
    </comment>
    <comment ref="M41" authorId="1" shapeId="0" xr:uid="{79ADC617-A957-4A54-9873-E1417C6FFB2E}">
      <text>
        <r>
          <rPr>
            <b/>
            <sz val="9"/>
            <color indexed="81"/>
            <rFont val="Segoe UI"/>
            <family val="2"/>
          </rPr>
          <t>Fundação Anna de Moura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8" authorId="0" shapeId="0" xr:uid="{8F40967A-F54B-4675-8A5F-04DB0E8BC2FA}">
      <text>
        <r>
          <rPr>
            <sz val="9"/>
            <color indexed="62"/>
            <rFont val="Tahoma"/>
            <family val="2"/>
          </rPr>
          <t>Finados (Dia dos Mortos)</t>
        </r>
      </text>
    </comment>
    <comment ref="H49" authorId="0" shapeId="0" xr:uid="{B76050BE-F64B-460F-B4DF-1520F33CE211}">
      <text>
        <r>
          <rPr>
            <sz val="9"/>
            <color indexed="62"/>
            <rFont val="Tahoma"/>
            <family val="2"/>
          </rPr>
          <t>Proclamação da República</t>
        </r>
      </text>
    </comment>
    <comment ref="F50" authorId="1" shapeId="0" xr:uid="{497DB557-48EA-43FC-91CA-E328E739CF4D}">
      <text>
        <r>
          <rPr>
            <b/>
            <sz val="9"/>
            <color indexed="81"/>
            <rFont val="Segoe UI"/>
            <family val="2"/>
          </rPr>
          <t>Consciência Negra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50" authorId="0" shapeId="0" xr:uid="{B14335EA-7DD1-465A-BF62-5567C93F14B8}">
      <text>
        <r>
          <rPr>
            <sz val="9"/>
            <color indexed="62"/>
            <rFont val="Tahoma"/>
            <family val="2"/>
          </rPr>
          <t>Natal</t>
        </r>
      </text>
    </comment>
  </commentList>
</comments>
</file>

<file path=xl/sharedStrings.xml><?xml version="1.0" encoding="utf-8"?>
<sst xmlns="http://schemas.openxmlformats.org/spreadsheetml/2006/main" count="12229" uniqueCount="447">
  <si>
    <t>Início</t>
  </si>
  <si>
    <t>Carga Horária</t>
  </si>
  <si>
    <t>Curso</t>
  </si>
  <si>
    <t>Público</t>
  </si>
  <si>
    <t>Fonte Pagadora</t>
  </si>
  <si>
    <t>Anna de Moura</t>
  </si>
  <si>
    <t>Duração</t>
  </si>
  <si>
    <t>Carga Horária / dia</t>
  </si>
  <si>
    <t>Dias Letivos</t>
  </si>
  <si>
    <t>Fim</t>
  </si>
  <si>
    <t>Entrada</t>
  </si>
  <si>
    <t>Saída</t>
  </si>
  <si>
    <t>Valor/ Hora</t>
  </si>
  <si>
    <t>Total</t>
  </si>
  <si>
    <t>Certificação</t>
  </si>
  <si>
    <t>SENAI</t>
  </si>
  <si>
    <t>Seg</t>
  </si>
  <si>
    <t>Ter</t>
  </si>
  <si>
    <t>Qua</t>
  </si>
  <si>
    <t>Qui</t>
  </si>
  <si>
    <t>Sex</t>
  </si>
  <si>
    <t>Contrib.</t>
  </si>
  <si>
    <t>Professor</t>
  </si>
  <si>
    <t>DADOS DOS TREINAMENTOS</t>
  </si>
  <si>
    <t>DADOS DA ENTIDADE</t>
  </si>
  <si>
    <t>CONVENIADA</t>
  </si>
  <si>
    <t>Instituto Anna de Moura – Fundação</t>
  </si>
  <si>
    <t>MUNICÍPIO</t>
  </si>
  <si>
    <t>Mogi das Cruzes</t>
  </si>
  <si>
    <t>Nº DO PROCESSO</t>
  </si>
  <si>
    <t>COORDENADOR(A) DO PROJETO</t>
  </si>
  <si>
    <t>Idilene Pieretti Berton</t>
  </si>
  <si>
    <t>TELEFONE</t>
  </si>
  <si>
    <t xml:space="preserve">11 4727-4122 / </t>
  </si>
  <si>
    <t>11 9 9795-0255</t>
  </si>
  <si>
    <t xml:space="preserve"> E-MAIL</t>
  </si>
  <si>
    <t>institutoannademoura@gmail.com</t>
  </si>
  <si>
    <t>LOCAL DA REALIZAÇÃO (Rua, Av., nº e complemento)</t>
  </si>
  <si>
    <t>Rua Vasco Cinquini, 53, Jardim Aeroporto III, Mogi das Cruzes, SP, 08761-310</t>
  </si>
  <si>
    <t>ESCOLA SENAI</t>
  </si>
  <si>
    <t>DADOS DO CURSO</t>
  </si>
  <si>
    <t>NÍVEL DE OFERTA</t>
  </si>
  <si>
    <t>TÍTULO DO CURSO</t>
  </si>
  <si>
    <t>CARGA HORÁRIA</t>
  </si>
  <si>
    <t>ÁREA TECNOLÓGICA</t>
  </si>
  <si>
    <t xml:space="preserve">( X ) PLANO DE CURSO </t>
  </si>
  <si>
    <t xml:space="preserve">( X ) FICHA DE PRODUTO </t>
  </si>
  <si>
    <t>ORGANIZAÇÃO DAS TURMAS</t>
  </si>
  <si>
    <t>TURMA</t>
  </si>
  <si>
    <t>DATAS</t>
  </si>
  <si>
    <t>DIAS DA SEMANA</t>
  </si>
  <si>
    <t>HORÁRIO</t>
  </si>
  <si>
    <t>Nº DE PARTICIPANTES</t>
  </si>
  <si>
    <t>CÓDIGO DA TURMA (SENAI)</t>
  </si>
  <si>
    <t>INÍCIO</t>
  </si>
  <si>
    <t>TÉRMINO</t>
  </si>
  <si>
    <t>2ª</t>
  </si>
  <si>
    <t>3ª</t>
  </si>
  <si>
    <t>4ª</t>
  </si>
  <si>
    <t>5ª</t>
  </si>
  <si>
    <t>6ª</t>
  </si>
  <si>
    <t>S</t>
  </si>
  <si>
    <t>D</t>
  </si>
  <si>
    <t>     </t>
  </si>
  <si>
    <t>(Acrescentar linhas quando necessário)</t>
  </si>
  <si>
    <t>ASSINATURAS</t>
  </si>
  <si>
    <t>ASSINATURA:</t>
  </si>
  <si>
    <t>DATA:</t>
  </si>
  <si>
    <t>NOME:</t>
  </si>
  <si>
    <t>IDILENE PIERETTI BERTON</t>
  </si>
  <si>
    <t xml:space="preserve">CARGO: </t>
  </si>
  <si>
    <t>DIRETORA DO NÚCLEO</t>
  </si>
  <si>
    <t>Valor Previsto</t>
  </si>
  <si>
    <t>VALOR EXECUTADO</t>
  </si>
  <si>
    <t>Tecnologia da Informação</t>
  </si>
  <si>
    <t>Planejamento - 2025</t>
  </si>
  <si>
    <t>Gestão</t>
  </si>
  <si>
    <t>Auxiliar Administrativo</t>
  </si>
  <si>
    <t>Pacote Office</t>
  </si>
  <si>
    <t>Informática Básica</t>
  </si>
  <si>
    <t>Área</t>
  </si>
  <si>
    <t>Nível</t>
  </si>
  <si>
    <t>Qualificação</t>
  </si>
  <si>
    <t>Aperfeiçoamento</t>
  </si>
  <si>
    <t>Iniciação</t>
  </si>
  <si>
    <t>Turma</t>
  </si>
  <si>
    <t>Liderança</t>
  </si>
  <si>
    <t>Microsoft Power BI</t>
  </si>
  <si>
    <t>Eletricista Instalador</t>
  </si>
  <si>
    <t>Comandos Elétricos</t>
  </si>
  <si>
    <t>Eletroeletrônica - Eletricidade</t>
  </si>
  <si>
    <t>Metalmecânica - Mecânica</t>
  </si>
  <si>
    <t>Logística e Transporte</t>
  </si>
  <si>
    <t>ID</t>
  </si>
  <si>
    <t>Liderança Gestão Estratégica de Equipes</t>
  </si>
  <si>
    <t>Operador Logística</t>
  </si>
  <si>
    <t>Inspetor Qualidade</t>
  </si>
  <si>
    <t>Capac. Máx.</t>
  </si>
  <si>
    <t>Sáb</t>
  </si>
  <si>
    <t>Padrão</t>
  </si>
  <si>
    <t>x</t>
  </si>
  <si>
    <t>Calendário 2025 - Brasil</t>
  </si>
  <si>
    <r>
      <t xml:space="preserve">Cortesia de </t>
    </r>
    <r>
      <rPr>
        <b/>
        <sz val="12"/>
        <color rgb="FF4175B5"/>
        <rFont val="Calibri"/>
        <family val="2"/>
        <scheme val="minor"/>
      </rPr>
      <t>WinCalendar.com</t>
    </r>
  </si>
  <si>
    <t>Calendário do ano inteiro em uma página.</t>
  </si>
  <si>
    <t>Janeiro 2025</t>
  </si>
  <si>
    <t>Fevereiro 2025</t>
  </si>
  <si>
    <t>Data</t>
  </si>
  <si>
    <t>Feriado</t>
  </si>
  <si>
    <t>Dom</t>
  </si>
  <si>
    <t>Ano Novo</t>
  </si>
  <si>
    <t>Carnaval (Segunda-Feira)</t>
  </si>
  <si>
    <t>Carnaval (Terça-Feira)</t>
  </si>
  <si>
    <t>Sexta-Feira Santa</t>
  </si>
  <si>
    <t>Tiradentes</t>
  </si>
  <si>
    <t>Dia do Trabalho</t>
  </si>
  <si>
    <t>Corpus Christi</t>
  </si>
  <si>
    <t>Março 2025</t>
  </si>
  <si>
    <t>Abril 2025</t>
  </si>
  <si>
    <t>Revolução 32</t>
  </si>
  <si>
    <t>Sant'Ana</t>
  </si>
  <si>
    <t>Aniversári Mogi</t>
  </si>
  <si>
    <t>Independência do Brasil</t>
  </si>
  <si>
    <t>Nossa Senhora de Aparecida</t>
  </si>
  <si>
    <t>Finados (Dia dos Mortos)</t>
  </si>
  <si>
    <t>Proclamação da República</t>
  </si>
  <si>
    <t>Consciência Negra</t>
  </si>
  <si>
    <t>Natal</t>
  </si>
  <si>
    <t>Maio 2025</t>
  </si>
  <si>
    <t>Junho 2025</t>
  </si>
  <si>
    <t>Julho 2025</t>
  </si>
  <si>
    <t>Agosto 2025</t>
  </si>
  <si>
    <t>Setembro 2025</t>
  </si>
  <si>
    <t>Outubro 2025</t>
  </si>
  <si>
    <t>Novembro 2025</t>
  </si>
  <si>
    <t>Dezembro 2025</t>
  </si>
  <si>
    <t>Para a versão online deste calendário, consulte:</t>
  </si>
  <si>
    <t>https://www.wincalendar.com/calendario/Brasil-2025</t>
  </si>
  <si>
    <t>T1</t>
  </si>
  <si>
    <t>T2</t>
  </si>
  <si>
    <t>X</t>
  </si>
  <si>
    <t>(+) 50</t>
  </si>
  <si>
    <t>Manicure</t>
  </si>
  <si>
    <t>Edmilton</t>
  </si>
  <si>
    <t>Rafael</t>
  </si>
  <si>
    <t>Juliana</t>
  </si>
  <si>
    <t>Futsal</t>
  </si>
  <si>
    <t>RH - Banda 2025</t>
  </si>
  <si>
    <t>Fevereiro</t>
  </si>
  <si>
    <t>Design Sobrancelha</t>
  </si>
  <si>
    <t>Ginastica</t>
  </si>
  <si>
    <t>15 - 16 -17</t>
  </si>
  <si>
    <t>13-14</t>
  </si>
  <si>
    <t>Teatro</t>
  </si>
  <si>
    <t>Inglês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</si>
  <si>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</si>
  <si>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</si>
  <si>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</si>
  <si>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</si>
  <si>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</si>
  <si>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</si>
  <si>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</si>
  <si>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</si>
  <si>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</si>
  <si>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</si>
  <si>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</si>
  <si>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Quant. Dias</t>
  </si>
  <si>
    <t>Valor/hora</t>
  </si>
  <si>
    <t>Horas/dia</t>
  </si>
  <si>
    <t>Valor/dia</t>
  </si>
  <si>
    <t>Valor / Mensal</t>
  </si>
  <si>
    <t>Total RH</t>
  </si>
  <si>
    <t>Apresentações</t>
  </si>
  <si>
    <t>Dia das mães</t>
  </si>
  <si>
    <t>Natal - Mogi</t>
  </si>
  <si>
    <t>Natal - Suzano</t>
  </si>
  <si>
    <t>Natal - Urupema</t>
  </si>
  <si>
    <t>Valor  Total</t>
  </si>
  <si>
    <t>Total Apresentações</t>
  </si>
  <si>
    <t>Porteiro</t>
  </si>
  <si>
    <t>Beleza e Saúde</t>
  </si>
  <si>
    <t>Esporte</t>
  </si>
  <si>
    <t>Arte e Cultura</t>
  </si>
  <si>
    <t>Idiomas</t>
  </si>
  <si>
    <t>Férias</t>
  </si>
  <si>
    <t>Ana Flavia Eilliar Bianchini</t>
  </si>
  <si>
    <t>Ronaldo Moro</t>
  </si>
  <si>
    <t>Danilo Ressutti Mendes</t>
  </si>
  <si>
    <t>João Kleber Indena Martins</t>
  </si>
  <si>
    <t>Ronaldo Borba</t>
  </si>
  <si>
    <t>Eliane Aparecida dos Santos Lima</t>
  </si>
  <si>
    <t>Robson da Silva Gonçalves</t>
  </si>
  <si>
    <t>Irene Stephani</t>
  </si>
  <si>
    <t>Agatha Cristina dos Santos Marcondes</t>
  </si>
  <si>
    <t>Ingrid de Assis</t>
  </si>
  <si>
    <t>Karina Stolemberger</t>
  </si>
  <si>
    <t>Wanderly Francisca Nepomuceno</t>
  </si>
  <si>
    <t>Dia dos Professores</t>
  </si>
  <si>
    <t>15 a 17</t>
  </si>
  <si>
    <t>(+) 18</t>
  </si>
  <si>
    <t>(+) 16</t>
  </si>
  <si>
    <t>(+) 14</t>
  </si>
  <si>
    <t>Culinaria 1</t>
  </si>
  <si>
    <t>Culinaria 2</t>
  </si>
  <si>
    <t>Culinaria 3</t>
  </si>
  <si>
    <t>Culinaria 4</t>
  </si>
  <si>
    <t>Culinaria 5</t>
  </si>
  <si>
    <t>Culinaria 6</t>
  </si>
  <si>
    <t>Quinta-Feira Santa</t>
  </si>
  <si>
    <t xml:space="preserve">ID </t>
  </si>
  <si>
    <t>Edmilton / Juliana / Rafael</t>
  </si>
  <si>
    <t>Contribuição</t>
  </si>
  <si>
    <t>Moda</t>
  </si>
  <si>
    <t>Sorvetes Artesanais</t>
  </si>
  <si>
    <t>Alimentos</t>
  </si>
  <si>
    <t>Pães Especiais</t>
  </si>
  <si>
    <t>Massas Folhadas</t>
  </si>
  <si>
    <t>Cafeteria</t>
  </si>
  <si>
    <t>Massas Frescas e Molhos</t>
  </si>
  <si>
    <t>Planejamento 1º Semestre/2025</t>
  </si>
  <si>
    <t>Quant. Alunos</t>
  </si>
  <si>
    <t xml:space="preserve">Valor </t>
  </si>
  <si>
    <t>Total Cursos</t>
  </si>
  <si>
    <t>Gratuidade</t>
  </si>
  <si>
    <t>Convênio</t>
  </si>
  <si>
    <t>Quantidade de  Cursos</t>
  </si>
  <si>
    <t>Petit Four (Doce e Salgado)</t>
  </si>
  <si>
    <t>Patricia Turetti</t>
  </si>
  <si>
    <t>Período</t>
  </si>
  <si>
    <t>Noite</t>
  </si>
  <si>
    <t>Manhã</t>
  </si>
  <si>
    <t>Tarde</t>
  </si>
  <si>
    <t>Banda</t>
  </si>
  <si>
    <t>Entre 14 e 18 anos</t>
  </si>
  <si>
    <t>Aprenda a Ajustar e Reformar Roupas</t>
  </si>
  <si>
    <t>Ajust_Ref_T1</t>
  </si>
  <si>
    <t>Aprenda a Fabricar e Vender Cupcakes e Bolos Caseiros</t>
  </si>
  <si>
    <t>Cup_Bolo_T1</t>
  </si>
  <si>
    <t>Costureiro de Máquina Reta e Overloque</t>
  </si>
  <si>
    <t>Cost_Maq_T1</t>
  </si>
  <si>
    <t>Cost_Maq_T2</t>
  </si>
  <si>
    <t>(+18)</t>
  </si>
  <si>
    <t>-</t>
  </si>
  <si>
    <t>Operador de Micro</t>
  </si>
  <si>
    <t>Análise Termográfica</t>
  </si>
  <si>
    <t>Elaboração de Laudos para Instalações Elétricas</t>
  </si>
  <si>
    <t>Inspetor de Qualidade</t>
  </si>
  <si>
    <t>Edilson Rosa</t>
  </si>
  <si>
    <t>Valor RH</t>
  </si>
  <si>
    <t>Valor Insumo</t>
  </si>
  <si>
    <t>Auxiliar de Almoxarifado</t>
  </si>
  <si>
    <t>AuxAlm_T1</t>
  </si>
  <si>
    <t>José Elnir</t>
  </si>
  <si>
    <t>T3</t>
  </si>
  <si>
    <t>Ana Carolina Pereira Araujo</t>
  </si>
  <si>
    <t>Planejamento Controle de Produção</t>
  </si>
  <si>
    <t>Silvio Cordeiro</t>
  </si>
  <si>
    <t>Manutenção Produtiva Total</t>
  </si>
  <si>
    <t>Leitura Interpretação de Desenho Técnico Mecânico</t>
  </si>
  <si>
    <t>Alison Silva</t>
  </si>
  <si>
    <t>Diego Tertulino</t>
  </si>
  <si>
    <t>Excel Básico</t>
  </si>
  <si>
    <t>Op_Micro_T1</t>
  </si>
  <si>
    <t>Status</t>
  </si>
  <si>
    <t>Cassio Portugal Melo</t>
  </si>
  <si>
    <t>(+) 15</t>
  </si>
  <si>
    <t>Ismael Alves de Faria</t>
  </si>
  <si>
    <t>Pizzas</t>
  </si>
  <si>
    <t>Escola de Líderes</t>
  </si>
  <si>
    <t>EscLid_T1</t>
  </si>
  <si>
    <t>Crescer - Pref.</t>
  </si>
  <si>
    <t>15 a 24</t>
  </si>
  <si>
    <t>Prefeitura de Mogi</t>
  </si>
  <si>
    <t>Total Geral</t>
  </si>
  <si>
    <t>Sidney Nunes</t>
  </si>
  <si>
    <t>Ferramentas Qualidade</t>
  </si>
  <si>
    <t>Tecnicas de Costura para Tecido Plano e Malha</t>
  </si>
  <si>
    <t>CosPlanMa_T1</t>
  </si>
  <si>
    <t>MicPow_T1</t>
  </si>
  <si>
    <t>T4</t>
  </si>
  <si>
    <t>14 a 18 ANOS</t>
  </si>
  <si>
    <t>Inglês Avançado</t>
  </si>
  <si>
    <t>Maquiagem</t>
  </si>
  <si>
    <t>Valor Executado</t>
  </si>
  <si>
    <t>Valor RH / Executado</t>
  </si>
  <si>
    <t>CONTRATAÇÃO DE PROFISSIONAIS</t>
  </si>
  <si>
    <t>Subtotal - Contratação de Profissionais</t>
  </si>
  <si>
    <t>5.1</t>
  </si>
  <si>
    <t>Acessórios de instrumentos - Banda</t>
  </si>
  <si>
    <t>Maercado Pago</t>
  </si>
  <si>
    <t>Subtotal - Acessórios de  Instrumentos - Banda</t>
  </si>
  <si>
    <t>5.2</t>
  </si>
  <si>
    <t>MANUTENÇÃO DE EQUIPAMENTOS</t>
  </si>
  <si>
    <t>Aguinaldo Henrique Pires - Luthier Pires (Banda)</t>
  </si>
  <si>
    <t>Subtotal - Manutenção de Equipamentos</t>
  </si>
  <si>
    <t>Valor</t>
  </si>
  <si>
    <t>1º Sem/2025</t>
  </si>
  <si>
    <t>AuxAdm_T1</t>
  </si>
  <si>
    <t>PacOff_T1</t>
  </si>
  <si>
    <t>PacOff_T2</t>
  </si>
  <si>
    <t>Por _T1</t>
  </si>
  <si>
    <t>Fev</t>
  </si>
  <si>
    <t>Mar</t>
  </si>
  <si>
    <t>Ban _T1</t>
  </si>
  <si>
    <t>Fut _T1</t>
  </si>
  <si>
    <t>Fut _T2</t>
  </si>
  <si>
    <t>LidGes_T1</t>
  </si>
  <si>
    <t>Ing _T1</t>
  </si>
  <si>
    <t>Ing _T2</t>
  </si>
  <si>
    <t>Inglês 1</t>
  </si>
  <si>
    <t>Inglês 2</t>
  </si>
  <si>
    <t>Gin _T1</t>
  </si>
  <si>
    <t>Man _T1</t>
  </si>
  <si>
    <t>InfBás_T1</t>
  </si>
  <si>
    <t>SorArt_T1</t>
  </si>
  <si>
    <t>PãeEsp_T1</t>
  </si>
  <si>
    <t>MasFol_T1</t>
  </si>
  <si>
    <t>Caf _T1</t>
  </si>
  <si>
    <t>Piz _T1</t>
  </si>
  <si>
    <t>MasFre_T1</t>
  </si>
  <si>
    <t>DesSob_T1</t>
  </si>
  <si>
    <t>Tea _T1</t>
  </si>
  <si>
    <t>Valor Insumo / Executado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</si>
  <si>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</si>
  <si>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</si>
  <si>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</si>
  <si>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</si>
  <si>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</si>
  <si>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</si>
  <si>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</si>
  <si>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</si>
  <si>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</si>
  <si>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dez</t>
  </si>
  <si>
    <t>R$ Valor Previsto</t>
  </si>
  <si>
    <t>Total 1º Semestre</t>
  </si>
  <si>
    <t>Total 2º Semestre</t>
  </si>
  <si>
    <t>Total 2025</t>
  </si>
  <si>
    <t>Valor empenhado</t>
  </si>
  <si>
    <t>Saldo Disponível</t>
  </si>
  <si>
    <t>1º Semestre</t>
  </si>
  <si>
    <t>2º Semestre</t>
  </si>
  <si>
    <t>Fonte Pagadora / Certificação</t>
  </si>
  <si>
    <t>Quant. de Cursos</t>
  </si>
  <si>
    <t>Panetones</t>
  </si>
  <si>
    <t>Senai</t>
  </si>
  <si>
    <t>Desenvolvimento Capacidades Socioemocionais</t>
  </si>
  <si>
    <t>nov</t>
  </si>
  <si>
    <t>Bolo no Pote</t>
  </si>
  <si>
    <t>Anderson / Marcelo</t>
  </si>
  <si>
    <t>Jorge Guimarães</t>
  </si>
  <si>
    <t>Elaboração de Laudos Para Instalações Elétricas</t>
  </si>
  <si>
    <t>Ilso Cruz</t>
  </si>
  <si>
    <t>As horas entre o dia 04 e 25 de novembro será diluida nas aulas.</t>
  </si>
  <si>
    <t>Coluna1</t>
  </si>
  <si>
    <t>Ciro Mendes</t>
  </si>
  <si>
    <t>Montagem de Painéis Elétricos</t>
  </si>
  <si>
    <t>Kaizen</t>
  </si>
  <si>
    <t>Daniel F. Junior</t>
  </si>
  <si>
    <t>As horas do dia 04/09 será diluida nas aulas.</t>
  </si>
  <si>
    <t>Power BI</t>
  </si>
  <si>
    <t>Salgados Fritos</t>
  </si>
  <si>
    <t>Rotinas Administrativas</t>
  </si>
  <si>
    <t>Excelência no Atendimento</t>
  </si>
  <si>
    <t>Fabiane</t>
  </si>
  <si>
    <t>Costureiro de Conserto e Reforma de Roupas</t>
  </si>
  <si>
    <t>ConsRef_T1</t>
  </si>
  <si>
    <t>Lógistica e Transporte</t>
  </si>
  <si>
    <t>Excel Avançado</t>
  </si>
  <si>
    <t>Horário de Atendimento</t>
  </si>
  <si>
    <t>A partir do dia 22/07/2025</t>
  </si>
  <si>
    <t>Terça, Quarta e Quinta</t>
  </si>
  <si>
    <t>Segunda e Sexta</t>
  </si>
  <si>
    <t>24 a 27/06/25</t>
  </si>
  <si>
    <t>01 a 21/7/25</t>
  </si>
  <si>
    <t>Operador de Logistica</t>
  </si>
  <si>
    <t>Quantidade de Cursos</t>
  </si>
  <si>
    <t>Cursos</t>
  </si>
  <si>
    <t>Financeiro</t>
  </si>
  <si>
    <t>T5</t>
  </si>
  <si>
    <t>(+14)</t>
  </si>
  <si>
    <t>Prevenção a Incêndio</t>
  </si>
  <si>
    <t>PrevInc_T1</t>
  </si>
  <si>
    <t>InfBás_T4</t>
  </si>
  <si>
    <t>Ronaldo Moro  ( - Aux. Administrativo)</t>
  </si>
  <si>
    <t>Ronaldo Benicasa Moreira (Informática)</t>
  </si>
  <si>
    <t>EDMILTON FELIPE TOLOSA LEAL (Banda)</t>
  </si>
  <si>
    <t>JULIANA COUTINHO DE SOUZA - (Banda)</t>
  </si>
  <si>
    <t>AGATHA CRISTINA DOS SANTOS MARCONDES (Futsal)</t>
  </si>
  <si>
    <t>Ana Flávia Eilliar Biachini SENAI - Liderança e desenvolvimento)</t>
  </si>
  <si>
    <t>RAPHAEL PEREIRA RODRIGUES (Banda)</t>
  </si>
  <si>
    <t>WANDERLY FRANCISCA NEPOMUCENO (Inglês e Espanol)</t>
  </si>
  <si>
    <t>INGRID DE ASSIS JORGE(Ginástica)</t>
  </si>
  <si>
    <t>IRENE STEFANI SILVA MEDINA (MANICURE)</t>
  </si>
  <si>
    <t>ROBSON  DA SILVA GONCALVES (informática)</t>
  </si>
  <si>
    <t>DANILO RESSUTTI MENDES (CULINÁRIA)</t>
  </si>
  <si>
    <t>KARINA STOLEMBERGER DA SILVA (Teatro)</t>
  </si>
  <si>
    <t>JOÃO KLEBER INDENA MARTINS</t>
  </si>
  <si>
    <t>Fichas e Documentos dos Alunos</t>
  </si>
  <si>
    <t>Aperfeiçoamento Profissional</t>
  </si>
  <si>
    <t>Aperfeiçoamento Profissional Profissional</t>
  </si>
  <si>
    <t>Qualificação Profissional</t>
  </si>
  <si>
    <t>Qualificação Profissional Profissional</t>
  </si>
  <si>
    <t>Iniciação Profissional</t>
  </si>
  <si>
    <t>Iniciação Profissional Profissional</t>
  </si>
  <si>
    <t>Conveniada:</t>
  </si>
  <si>
    <t>Instituto Anna de Moura - Fundação</t>
  </si>
  <si>
    <t>Início Previsto</t>
  </si>
  <si>
    <t>Término Previsto</t>
  </si>
  <si>
    <t>Tipo de Contrato</t>
  </si>
  <si>
    <t>SEBRAE</t>
  </si>
  <si>
    <t>SEBRAE/SENAI</t>
  </si>
  <si>
    <t>Tipo de Parceria:</t>
  </si>
  <si>
    <t>Total 1º Sem.</t>
  </si>
  <si>
    <t>Construção Civil</t>
  </si>
  <si>
    <t>Técnicas para Pintura Predial</t>
  </si>
  <si>
    <t>PinPre_T1</t>
  </si>
  <si>
    <t>Sala</t>
  </si>
  <si>
    <t>02 - Sala de Aula</t>
  </si>
  <si>
    <t>03 - Sala de Aula</t>
  </si>
  <si>
    <t>04 - Sala de Aula</t>
  </si>
  <si>
    <t>05 - Sala de Aula</t>
  </si>
  <si>
    <t>06 - Laboratório de Informática</t>
  </si>
  <si>
    <t>07 - Sala de Aula</t>
  </si>
  <si>
    <t>08 - Sala de Aula</t>
  </si>
  <si>
    <t>09 - Laboratório Informática</t>
  </si>
  <si>
    <t>20 - Sala de Vídeo</t>
  </si>
  <si>
    <t>32 - Corte e Costura I</t>
  </si>
  <si>
    <t>33 - Corte e Costura II</t>
  </si>
  <si>
    <t>34 - Sala de Música</t>
  </si>
  <si>
    <t>35 - Material Esportivo</t>
  </si>
  <si>
    <t>36 - Sala de Estética</t>
  </si>
  <si>
    <t>E - Cozinha Experimental</t>
  </si>
  <si>
    <t>F - Sala de Aula</t>
  </si>
  <si>
    <t>I - Laboratório de Hidraúlica</t>
  </si>
  <si>
    <t>J - Biblioteca</t>
  </si>
  <si>
    <t>K - Sala de Aula</t>
  </si>
  <si>
    <t>M - Laboratório de Elétrica</t>
  </si>
  <si>
    <t>Auditório</t>
  </si>
  <si>
    <t>Quadra</t>
  </si>
  <si>
    <t>Data Início</t>
  </si>
  <si>
    <t>Data Fim</t>
  </si>
  <si>
    <t>Cancelado</t>
  </si>
  <si>
    <t>Sala / Período</t>
  </si>
  <si>
    <t>PlaCon_T2</t>
  </si>
  <si>
    <t>Kleber</t>
  </si>
  <si>
    <t>Brandon</t>
  </si>
  <si>
    <t>Sidney / Ismael</t>
  </si>
  <si>
    <t>Livre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</si>
</sst>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h]:mm"/>
    <numFmt numFmtId="165" formatCode="[$-416]d\-mmm;@"/>
    <numFmt numFmtId="166" formatCode="mmmm\ yyyy"/>
    <numFmt numFmtId="167" formatCode="[$-416]d\ mmm;@"/>
    <numFmt numFmtId="168" formatCode="ddd"/>
    <numFmt numFmtId="169" formatCode="d"/>
    <numFmt numFmtId="170" formatCode="0.0"/>
    <numFmt numFmtId="171" formatCode="[$-F400]h:mm:ss\ AM/PM"/>
    <numFmt numFmtId="172" formatCode="[$-416]mmm\-yy;@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Arial"/>
      <family val="2"/>
    </font>
    <font>
      <sz val="4"/>
      <color theme="1"/>
      <name val="Times New Roman"/>
      <family val="1"/>
    </font>
    <font>
      <sz val="6"/>
      <color theme="1"/>
      <name val="Arial"/>
      <family val="2"/>
    </font>
    <font>
      <sz val="1"/>
      <color theme="1"/>
      <name val="Arial"/>
      <family val="2"/>
    </font>
    <font>
      <b/>
      <sz val="6"/>
      <color theme="1"/>
      <name val="Arial"/>
      <family val="2"/>
    </font>
    <font>
      <i/>
      <sz val="8"/>
      <color theme="1"/>
      <name val="Arial"/>
      <family val="2"/>
    </font>
    <font>
      <sz val="9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5"/>
      <color rgb="FF244062"/>
      <name val="Calibri"/>
      <family val="2"/>
      <scheme val="minor"/>
    </font>
    <font>
      <sz val="11"/>
      <color rgb="FF244062"/>
      <name val="Calibri"/>
      <family val="2"/>
      <scheme val="minor"/>
    </font>
    <font>
      <b/>
      <sz val="12"/>
      <color rgb="FF4175B5"/>
      <name val="Calibri"/>
      <family val="2"/>
      <scheme val="minor"/>
    </font>
    <font>
      <sz val="10"/>
      <name val="Arial"/>
      <family val="2"/>
    </font>
    <font>
      <b/>
      <sz val="12"/>
      <color rgb="FF263E74"/>
      <name val="Arial"/>
      <family val="2"/>
    </font>
    <font>
      <b/>
      <sz val="14"/>
      <color rgb="FF263E74"/>
      <name val="Arial"/>
      <family val="2"/>
    </font>
    <font>
      <sz val="11"/>
      <color rgb="FF263E74"/>
      <name val="Calibri"/>
      <family val="2"/>
      <scheme val="minor"/>
    </font>
    <font>
      <sz val="11"/>
      <color rgb="FF263E74"/>
      <name val="Arial Narrow"/>
      <family val="2"/>
    </font>
    <font>
      <b/>
      <sz val="10"/>
      <color rgb="FFFFFFCC"/>
      <name val="Arial"/>
      <family val="2"/>
    </font>
    <font>
      <b/>
      <sz val="10"/>
      <color rgb="FFFFFFFF"/>
      <name val="Arial"/>
      <family val="2"/>
    </font>
    <font>
      <sz val="9"/>
      <color indexed="8"/>
      <name val="Arial Narrow"/>
      <family val="2"/>
    </font>
    <font>
      <sz val="9"/>
      <color rgb="FF263E74"/>
      <name val="Arial Narrow"/>
      <family val="2"/>
    </font>
    <font>
      <b/>
      <sz val="10"/>
      <color rgb="FF641A1A"/>
      <name val="Arial"/>
      <family val="2"/>
    </font>
    <font>
      <b/>
      <sz val="10"/>
      <color rgb="FF263E74"/>
      <name val="Arial"/>
      <family val="2"/>
    </font>
    <font>
      <sz val="11"/>
      <color theme="1"/>
      <name val="Arial Narrow"/>
      <family val="2"/>
    </font>
    <font>
      <sz val="10"/>
      <color rgb="FF6D84A3"/>
      <name val="Calibri"/>
      <family val="2"/>
    </font>
    <font>
      <sz val="10"/>
      <color rgb="FF226EB4"/>
      <name val="Calibri"/>
      <family val="2"/>
      <scheme val="minor"/>
    </font>
    <font>
      <sz val="9"/>
      <color indexed="62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indexed="8"/>
      <name val="Arial"/>
      <family val="2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</font>
    <font>
      <b/>
      <sz val="8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36"/>
      <color theme="1"/>
      <name val="Arial"/>
      <family val="2"/>
    </font>
    <font>
      <sz val="48"/>
      <color theme="1"/>
      <name val="Arial"/>
      <family val="2"/>
    </font>
    <font>
      <sz val="20"/>
      <color theme="1"/>
      <name val="Arial"/>
      <family val="2"/>
    </font>
    <font>
      <b/>
      <sz val="18"/>
      <color theme="1"/>
      <name val="Arial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rgb="FF415D8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677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2CC"/>
        <bgColor indexed="64"/>
      </patternFill>
    </fill>
    <fill>
      <patternFill patternType="solid">
        <fgColor rgb="FFEAD1D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</fills>
  <borders count="8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18DB7"/>
      </left>
      <right/>
      <top style="thin">
        <color rgb="FF718DB7"/>
      </top>
      <bottom/>
      <diagonal/>
    </border>
    <border>
      <left/>
      <right/>
      <top style="thin">
        <color rgb="FF718DB7"/>
      </top>
      <bottom/>
      <diagonal/>
    </border>
    <border>
      <left/>
      <right style="thin">
        <color rgb="FF718DB7"/>
      </right>
      <top style="thin">
        <color rgb="FF718DB7"/>
      </top>
      <bottom/>
      <diagonal/>
    </border>
    <border>
      <left/>
      <right/>
      <top/>
      <bottom style="thin">
        <color rgb="FF666699"/>
      </bottom>
      <diagonal/>
    </border>
    <border>
      <left style="thin">
        <color rgb="FF718DB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718DB7"/>
      </right>
      <top style="thin">
        <color indexed="54"/>
      </top>
      <bottom/>
      <diagonal/>
    </border>
    <border>
      <left style="thin">
        <color rgb="FF718DB7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/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7C808A"/>
      </top>
      <bottom style="thin">
        <color rgb="FFD6DDEE"/>
      </bottom>
      <diagonal/>
    </border>
    <border>
      <left/>
      <right style="thin">
        <color rgb="FF718DB7"/>
      </right>
      <top style="thin">
        <color rgb="FF7C808A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718DB7"/>
      </right>
      <top/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718DB7"/>
      </right>
      <top style="thin">
        <color rgb="FFD6DDEE"/>
      </top>
      <bottom/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/>
      <top style="thin">
        <color rgb="FFD6DDEE"/>
      </top>
      <bottom style="thin">
        <color rgb="FF718DB7"/>
      </bottom>
      <diagonal/>
    </border>
    <border>
      <left style="thin">
        <color rgb="FFBFBFBF"/>
      </left>
      <right style="thin">
        <color rgb="FF718DB7"/>
      </right>
      <top style="thin">
        <color rgb="FFBFBFBF"/>
      </top>
      <bottom style="thin">
        <color rgb="FF718DB7"/>
      </bottom>
      <diagonal/>
    </border>
    <border>
      <left style="thin">
        <color rgb="FFBFBFBF"/>
      </left>
      <right/>
      <top style="thin">
        <color rgb="FFBFBFBF"/>
      </top>
      <bottom style="thin">
        <color rgb="FF718DB7"/>
      </bottom>
      <diagonal/>
    </border>
    <border>
      <left/>
      <right/>
      <top style="thin">
        <color rgb="FFBFBFBF"/>
      </top>
      <bottom style="thin">
        <color rgb="FF718DB7"/>
      </bottom>
      <diagonal/>
    </border>
    <border>
      <left/>
      <right style="thin">
        <color rgb="FF718DB7"/>
      </right>
      <top style="thin">
        <color rgb="FFBFBFBF"/>
      </top>
      <bottom style="thin">
        <color rgb="FF718DB7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718DB7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718DB7"/>
      </bottom>
      <diagonal/>
    </border>
    <border>
      <left style="thin">
        <color rgb="FF718DB7"/>
      </left>
      <right/>
      <top style="thin">
        <color rgb="FFD6DDEE"/>
      </top>
      <bottom style="thin">
        <color rgb="FF718DB7"/>
      </bottom>
      <diagonal/>
    </border>
    <border>
      <left style="thin">
        <color rgb="FF718DB7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4"/>
      </right>
      <top/>
      <bottom/>
      <diagonal/>
    </border>
    <border>
      <left/>
      <right/>
      <top/>
      <bottom style="thin">
        <color theme="5" tint="0.79998168889431442"/>
      </bottom>
      <diagonal/>
    </border>
    <border>
      <left/>
      <right style="thin">
        <color theme="4"/>
      </right>
      <top/>
      <bottom style="thin">
        <color theme="5" tint="0.79998168889431442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 style="thin">
        <color theme="4"/>
      </right>
      <top style="thin">
        <color theme="5" tint="0.79998168889431442"/>
      </top>
      <bottom style="thin">
        <color theme="5" tint="0.79998168889431442"/>
      </bottom>
      <diagonal/>
    </border>
    <border>
      <left/>
      <right/>
      <top/>
      <bottom style="double">
        <color theme="5"/>
      </bottom>
      <diagonal/>
    </border>
    <border>
      <left/>
      <right style="thin">
        <color theme="4"/>
      </right>
      <top/>
      <bottom style="double">
        <color theme="5"/>
      </bottom>
      <diagonal/>
    </border>
    <border>
      <left/>
      <right style="thin">
        <color theme="4"/>
      </right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 style="medium">
        <color indexed="64"/>
      </left>
      <right/>
      <top style="thin">
        <color theme="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 style="thin">
        <color theme="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7" fillId="0" borderId="0"/>
    <xf numFmtId="0" fontId="27" fillId="0" borderId="0"/>
    <xf numFmtId="49" fontId="34" fillId="6" borderId="0" applyBorder="0" applyProtection="0">
      <alignment horizontal="left" vertical="top" wrapText="1"/>
    </xf>
  </cellStyleXfs>
  <cellXfs count="499">
    <xf numFmtId="0" fontId="0" fillId="0" borderId="0" xfId="0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0" borderId="0" xfId="0" applyFont="1"/>
    <xf numFmtId="1" fontId="3" fillId="0" borderId="0" xfId="0" applyNumberFormat="1" applyFont="1"/>
    <xf numFmtId="14" fontId="3" fillId="0" borderId="0" xfId="0" applyNumberFormat="1" applyFont="1"/>
    <xf numFmtId="44" fontId="2" fillId="0" borderId="1" xfId="1" applyFont="1" applyFill="1" applyBorder="1" applyAlignment="1">
      <alignment vertical="center"/>
    </xf>
    <xf numFmtId="44" fontId="2" fillId="0" borderId="0" xfId="1" applyFont="1" applyAlignment="1">
      <alignment vertical="center" wrapText="1"/>
    </xf>
    <xf numFmtId="0" fontId="9" fillId="0" borderId="0" xfId="0" applyFont="1"/>
    <xf numFmtId="0" fontId="2" fillId="0" borderId="0" xfId="0" applyFont="1" applyAlignment="1">
      <alignment horizontal="center" vertical="center" wrapText="1"/>
    </xf>
    <xf numFmtId="44" fontId="2" fillId="0" borderId="0" xfId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center"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/>
    <xf numFmtId="165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/>
    <xf numFmtId="0" fontId="10" fillId="0" borderId="1" xfId="0" applyFont="1" applyBorder="1" applyAlignment="1">
      <alignment vertical="center"/>
    </xf>
    <xf numFmtId="44" fontId="10" fillId="0" borderId="1" xfId="0" applyNumberFormat="1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8" fillId="0" borderId="8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4" fontId="12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44" fontId="3" fillId="0" borderId="0" xfId="1" applyFont="1"/>
    <xf numFmtId="44" fontId="0" fillId="0" borderId="0" xfId="1" applyFont="1" applyAlignment="1">
      <alignment horizontal="center"/>
    </xf>
    <xf numFmtId="44" fontId="11" fillId="0" borderId="1" xfId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4" fontId="2" fillId="0" borderId="1" xfId="1" applyFont="1" applyFill="1" applyBorder="1" applyAlignment="1">
      <alignment horizontal="center" vertical="center"/>
    </xf>
    <xf numFmtId="44" fontId="10" fillId="0" borderId="1" xfId="0" applyNumberFormat="1" applyFont="1" applyBorder="1" applyAlignment="1">
      <alignment horizontal="center" vertical="center"/>
    </xf>
    <xf numFmtId="44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4" fillId="0" borderId="0" xfId="0" quotePrefix="1" applyFont="1"/>
    <xf numFmtId="0" fontId="25" fillId="0" borderId="0" xfId="2" applyFont="1" applyAlignment="1">
      <alignment horizontal="right"/>
    </xf>
    <xf numFmtId="0" fontId="25" fillId="0" borderId="0" xfId="0" quotePrefix="1" applyFont="1"/>
    <xf numFmtId="166" fontId="28" fillId="4" borderId="12" xfId="3" applyNumberFormat="1" applyFont="1" applyFill="1" applyBorder="1" applyAlignment="1">
      <alignment horizontal="centerContinuous" vertical="center"/>
    </xf>
    <xf numFmtId="0" fontId="29" fillId="4" borderId="13" xfId="3" applyFont="1" applyFill="1" applyBorder="1" applyAlignment="1">
      <alignment horizontal="centerContinuous"/>
    </xf>
    <xf numFmtId="0" fontId="29" fillId="4" borderId="14" xfId="3" applyFont="1" applyFill="1" applyBorder="1" applyAlignment="1">
      <alignment horizontal="centerContinuous"/>
    </xf>
    <xf numFmtId="166" fontId="28" fillId="4" borderId="12" xfId="4" applyNumberFormat="1" applyFont="1" applyFill="1" applyBorder="1" applyAlignment="1">
      <alignment horizontal="centerContinuous" vertical="center"/>
    </xf>
    <xf numFmtId="0" fontId="29" fillId="4" borderId="13" xfId="4" applyFont="1" applyFill="1" applyBorder="1" applyAlignment="1">
      <alignment horizontal="centerContinuous"/>
    </xf>
    <xf numFmtId="0" fontId="29" fillId="4" borderId="14" xfId="4" applyFont="1" applyFill="1" applyBorder="1" applyAlignment="1">
      <alignment horizontal="centerContinuous"/>
    </xf>
    <xf numFmtId="167" fontId="30" fillId="4" borderId="15" xfId="0" applyNumberFormat="1" applyFont="1" applyFill="1" applyBorder="1" applyAlignment="1">
      <alignment horizontal="left"/>
    </xf>
    <xf numFmtId="0" fontId="31" fillId="4" borderId="15" xfId="0" applyFont="1" applyFill="1" applyBorder="1" applyAlignment="1">
      <alignment shrinkToFit="1"/>
    </xf>
    <xf numFmtId="168" fontId="32" fillId="5" borderId="16" xfId="3" quotePrefix="1" applyNumberFormat="1" applyFont="1" applyFill="1" applyBorder="1" applyAlignment="1">
      <alignment horizontal="center" shrinkToFit="1"/>
    </xf>
    <xf numFmtId="168" fontId="33" fillId="5" borderId="17" xfId="3" quotePrefix="1" applyNumberFormat="1" applyFont="1" applyFill="1" applyBorder="1" applyAlignment="1">
      <alignment horizontal="center" shrinkToFit="1"/>
    </xf>
    <xf numFmtId="168" fontId="32" fillId="5" borderId="18" xfId="3" quotePrefix="1" applyNumberFormat="1" applyFont="1" applyFill="1" applyBorder="1" applyAlignment="1">
      <alignment horizontal="center" shrinkToFit="1"/>
    </xf>
    <xf numFmtId="168" fontId="32" fillId="5" borderId="16" xfId="4" quotePrefix="1" applyNumberFormat="1" applyFont="1" applyFill="1" applyBorder="1" applyAlignment="1">
      <alignment horizontal="center" shrinkToFit="1"/>
    </xf>
    <xf numFmtId="168" fontId="33" fillId="5" borderId="17" xfId="4" quotePrefix="1" applyNumberFormat="1" applyFont="1" applyFill="1" applyBorder="1" applyAlignment="1">
      <alignment horizontal="center" shrinkToFit="1"/>
    </xf>
    <xf numFmtId="168" fontId="32" fillId="5" borderId="18" xfId="4" quotePrefix="1" applyNumberFormat="1" applyFont="1" applyFill="1" applyBorder="1" applyAlignment="1">
      <alignment horizontal="center" shrinkToFit="1"/>
    </xf>
    <xf numFmtId="167" fontId="0" fillId="0" borderId="0" xfId="0" applyNumberFormat="1" applyAlignment="1">
      <alignment horizontal="left"/>
    </xf>
    <xf numFmtId="49" fontId="35" fillId="6" borderId="19" xfId="5" applyFont="1" applyBorder="1" applyAlignment="1">
      <alignment horizontal="left" vertical="center" wrapText="1"/>
    </xf>
    <xf numFmtId="49" fontId="35" fillId="6" borderId="20" xfId="5" applyFont="1" applyBorder="1" applyAlignment="1">
      <alignment horizontal="left" vertical="center" wrapText="1"/>
    </xf>
    <xf numFmtId="49" fontId="35" fillId="6" borderId="21" xfId="5" applyFont="1" applyBorder="1" applyAlignment="1">
      <alignment horizontal="left" vertical="center" wrapText="1"/>
    </xf>
    <xf numFmtId="169" fontId="36" fillId="7" borderId="22" xfId="3" applyNumberFormat="1" applyFont="1" applyFill="1" applyBorder="1" applyAlignment="1">
      <alignment horizontal="center" vertical="center" shrinkToFit="1"/>
    </xf>
    <xf numFmtId="169" fontId="37" fillId="8" borderId="23" xfId="3" applyNumberFormat="1" applyFont="1" applyFill="1" applyBorder="1" applyAlignment="1">
      <alignment horizontal="center" vertical="center" shrinkToFit="1"/>
    </xf>
    <xf numFmtId="169" fontId="37" fillId="9" borderId="24" xfId="3" applyNumberFormat="1" applyFont="1" applyFill="1" applyBorder="1" applyAlignment="1">
      <alignment horizontal="center" vertical="center" shrinkToFit="1"/>
    </xf>
    <xf numFmtId="169" fontId="37" fillId="9" borderId="25" xfId="4" applyNumberFormat="1" applyFont="1" applyFill="1" applyBorder="1" applyAlignment="1">
      <alignment horizontal="center" vertical="center" shrinkToFit="1"/>
    </xf>
    <xf numFmtId="169" fontId="37" fillId="9" borderId="26" xfId="3" applyNumberFormat="1" applyFont="1" applyFill="1" applyBorder="1" applyAlignment="1">
      <alignment horizontal="center" vertical="center" shrinkToFit="1"/>
    </xf>
    <xf numFmtId="169" fontId="37" fillId="8" borderId="27" xfId="3" applyNumberFormat="1" applyFont="1" applyFill="1" applyBorder="1" applyAlignment="1">
      <alignment horizontal="center" vertical="center" shrinkToFit="1"/>
    </xf>
    <xf numFmtId="169" fontId="37" fillId="9" borderId="28" xfId="3" applyNumberFormat="1" applyFont="1" applyFill="1" applyBorder="1" applyAlignment="1">
      <alignment horizontal="center" vertical="center" shrinkToFit="1"/>
    </xf>
    <xf numFmtId="169" fontId="37" fillId="9" borderId="26" xfId="4" applyNumberFormat="1" applyFont="1" applyFill="1" applyBorder="1" applyAlignment="1">
      <alignment horizontal="center" vertical="center" shrinkToFit="1"/>
    </xf>
    <xf numFmtId="169" fontId="37" fillId="8" borderId="27" xfId="4" applyNumberFormat="1" applyFont="1" applyFill="1" applyBorder="1" applyAlignment="1">
      <alignment horizontal="center" vertical="center" shrinkToFit="1"/>
    </xf>
    <xf numFmtId="169" fontId="37" fillId="9" borderId="28" xfId="4" applyNumberFormat="1" applyFont="1" applyFill="1" applyBorder="1" applyAlignment="1">
      <alignment horizontal="center" vertical="center" shrinkToFit="1"/>
    </xf>
    <xf numFmtId="169" fontId="37" fillId="9" borderId="29" xfId="3" applyNumberFormat="1" applyFont="1" applyFill="1" applyBorder="1" applyAlignment="1">
      <alignment horizontal="center" vertical="center" shrinkToFit="1"/>
    </xf>
    <xf numFmtId="169" fontId="37" fillId="8" borderId="30" xfId="3" applyNumberFormat="1" applyFont="1" applyFill="1" applyBorder="1" applyAlignment="1">
      <alignment horizontal="center" vertical="center" shrinkToFit="1"/>
    </xf>
    <xf numFmtId="169" fontId="37" fillId="9" borderId="31" xfId="3" applyNumberFormat="1" applyFont="1" applyFill="1" applyBorder="1" applyAlignment="1">
      <alignment horizontal="center" vertical="center" shrinkToFit="1"/>
    </xf>
    <xf numFmtId="169" fontId="37" fillId="9" borderId="29" xfId="4" applyNumberFormat="1" applyFont="1" applyFill="1" applyBorder="1" applyAlignment="1">
      <alignment horizontal="center" vertical="center" shrinkToFit="1"/>
    </xf>
    <xf numFmtId="169" fontId="37" fillId="8" borderId="30" xfId="4" applyNumberFormat="1" applyFont="1" applyFill="1" applyBorder="1" applyAlignment="1">
      <alignment horizontal="center" vertical="center" shrinkToFit="1"/>
    </xf>
    <xf numFmtId="169" fontId="37" fillId="9" borderId="31" xfId="4" applyNumberFormat="1" applyFont="1" applyFill="1" applyBorder="1" applyAlignment="1">
      <alignment horizontal="center" vertical="center" shrinkToFit="1"/>
    </xf>
    <xf numFmtId="169" fontId="37" fillId="9" borderId="32" xfId="3" applyNumberFormat="1" applyFont="1" applyFill="1" applyBorder="1" applyAlignment="1">
      <alignment horizontal="center" vertical="center" shrinkToFit="1"/>
    </xf>
    <xf numFmtId="169" fontId="37" fillId="8" borderId="33" xfId="3" applyNumberFormat="1" applyFont="1" applyFill="1" applyBorder="1" applyAlignment="1">
      <alignment horizontal="center" vertical="center" shrinkToFit="1"/>
    </xf>
    <xf numFmtId="169" fontId="37" fillId="9" borderId="34" xfId="3" applyNumberFormat="1" applyFont="1" applyFill="1" applyBorder="1" applyAlignment="1">
      <alignment horizontal="center" vertical="center" shrinkToFit="1"/>
    </xf>
    <xf numFmtId="169" fontId="37" fillId="9" borderId="32" xfId="4" applyNumberFormat="1" applyFont="1" applyFill="1" applyBorder="1" applyAlignment="1">
      <alignment horizontal="center" vertical="center" shrinkToFit="1"/>
    </xf>
    <xf numFmtId="169" fontId="37" fillId="8" borderId="33" xfId="4" applyNumberFormat="1" applyFont="1" applyFill="1" applyBorder="1" applyAlignment="1">
      <alignment horizontal="center" vertical="center" shrinkToFit="1"/>
    </xf>
    <xf numFmtId="169" fontId="37" fillId="9" borderId="34" xfId="4" applyNumberFormat="1" applyFont="1" applyFill="1" applyBorder="1" applyAlignment="1">
      <alignment horizontal="center" vertical="center" shrinkToFit="1"/>
    </xf>
    <xf numFmtId="169" fontId="37" fillId="9" borderId="35" xfId="3" applyNumberFormat="1" applyFont="1" applyFill="1" applyBorder="1" applyAlignment="1">
      <alignment horizontal="center" vertical="center" shrinkToFit="1"/>
    </xf>
    <xf numFmtId="169" fontId="37" fillId="8" borderId="36" xfId="3" applyNumberFormat="1" applyFont="1" applyFill="1" applyBorder="1" applyAlignment="1">
      <alignment horizontal="center" vertical="center" shrinkToFit="1"/>
    </xf>
    <xf numFmtId="169" fontId="37" fillId="8" borderId="37" xfId="3" applyNumberFormat="1" applyFont="1" applyFill="1" applyBorder="1" applyAlignment="1">
      <alignment horizontal="center" vertical="center" shrinkToFit="1"/>
    </xf>
    <xf numFmtId="49" fontId="35" fillId="6" borderId="38" xfId="5" applyFont="1" applyBorder="1" applyAlignment="1">
      <alignment horizontal="left" vertical="center" wrapText="1"/>
    </xf>
    <xf numFmtId="169" fontId="37" fillId="9" borderId="35" xfId="4" applyNumberFormat="1" applyFont="1" applyFill="1" applyBorder="1" applyAlignment="1">
      <alignment horizontal="center" vertical="center" shrinkToFit="1"/>
    </xf>
    <xf numFmtId="169" fontId="37" fillId="8" borderId="36" xfId="4" applyNumberFormat="1" applyFont="1" applyFill="1" applyBorder="1" applyAlignment="1">
      <alignment horizontal="center" vertical="center" shrinkToFit="1"/>
    </xf>
    <xf numFmtId="169" fontId="37" fillId="8" borderId="37" xfId="4" applyNumberFormat="1" applyFont="1" applyFill="1" applyBorder="1" applyAlignment="1">
      <alignment horizontal="center" vertical="center" shrinkToFit="1"/>
    </xf>
    <xf numFmtId="0" fontId="27" fillId="0" borderId="0" xfId="3"/>
    <xf numFmtId="0" fontId="27" fillId="0" borderId="0" xfId="4"/>
    <xf numFmtId="169" fontId="37" fillId="8" borderId="22" xfId="4" applyNumberFormat="1" applyFont="1" applyFill="1" applyBorder="1" applyAlignment="1">
      <alignment horizontal="center" vertical="center" shrinkToFit="1"/>
    </xf>
    <xf numFmtId="169" fontId="37" fillId="8" borderId="23" xfId="4" applyNumberFormat="1" applyFont="1" applyFill="1" applyBorder="1" applyAlignment="1">
      <alignment horizontal="center" vertical="center" shrinkToFit="1"/>
    </xf>
    <xf numFmtId="169" fontId="37" fillId="9" borderId="24" xfId="4" applyNumberFormat="1" applyFont="1" applyFill="1" applyBorder="1" applyAlignment="1">
      <alignment horizontal="center" vertical="center" shrinkToFit="1"/>
    </xf>
    <xf numFmtId="169" fontId="36" fillId="7" borderId="27" xfId="4" applyNumberFormat="1" applyFont="1" applyFill="1" applyBorder="1" applyAlignment="1">
      <alignment horizontal="center" vertical="center" shrinkToFit="1"/>
    </xf>
    <xf numFmtId="169" fontId="36" fillId="7" borderId="30" xfId="4" applyNumberFormat="1" applyFont="1" applyFill="1" applyBorder="1" applyAlignment="1">
      <alignment horizontal="center" vertical="center" shrinkToFit="1"/>
    </xf>
    <xf numFmtId="169" fontId="36" fillId="7" borderId="33" xfId="4" applyNumberFormat="1" applyFont="1" applyFill="1" applyBorder="1" applyAlignment="1">
      <alignment horizontal="center" vertical="center" shrinkToFit="1"/>
    </xf>
    <xf numFmtId="49" fontId="35" fillId="6" borderId="39" xfId="5" applyFont="1" applyBorder="1" applyAlignment="1">
      <alignment horizontal="left" vertical="center" wrapText="1"/>
    </xf>
    <xf numFmtId="49" fontId="35" fillId="6" borderId="40" xfId="5" applyFont="1" applyBorder="1" applyAlignment="1">
      <alignment horizontal="left" vertical="center" wrapText="1"/>
    </xf>
    <xf numFmtId="49" fontId="35" fillId="6" borderId="41" xfId="5" applyFont="1" applyBorder="1" applyAlignment="1">
      <alignment horizontal="left" vertical="center" wrapText="1"/>
    </xf>
    <xf numFmtId="0" fontId="0" fillId="0" borderId="42" xfId="0" applyBorder="1" applyAlignment="1">
      <alignment horizontal="left"/>
    </xf>
    <xf numFmtId="0" fontId="38" fillId="0" borderId="42" xfId="0" applyFont="1" applyBorder="1" applyAlignment="1">
      <alignment shrinkToFit="1"/>
    </xf>
    <xf numFmtId="169" fontId="36" fillId="7" borderId="22" xfId="4" applyNumberFormat="1" applyFont="1" applyFill="1" applyBorder="1" applyAlignment="1">
      <alignment horizontal="center" vertical="center" shrinkToFit="1"/>
    </xf>
    <xf numFmtId="169" fontId="37" fillId="9" borderId="43" xfId="4" applyNumberFormat="1" applyFont="1" applyFill="1" applyBorder="1" applyAlignment="1">
      <alignment horizontal="center" vertical="center" shrinkToFit="1"/>
    </xf>
    <xf numFmtId="169" fontId="37" fillId="9" borderId="44" xfId="4" applyNumberFormat="1" applyFont="1" applyFill="1" applyBorder="1" applyAlignment="1">
      <alignment horizontal="center" vertical="center" shrinkToFit="1"/>
    </xf>
    <xf numFmtId="169" fontId="37" fillId="9" borderId="45" xfId="4" applyNumberFormat="1" applyFont="1" applyFill="1" applyBorder="1" applyAlignment="1">
      <alignment horizontal="center" vertical="center" shrinkToFit="1"/>
    </xf>
    <xf numFmtId="49" fontId="35" fillId="6" borderId="46" xfId="5" applyFont="1" applyBorder="1" applyAlignment="1">
      <alignment horizontal="left" vertical="center" wrapText="1"/>
    </xf>
    <xf numFmtId="169" fontId="36" fillId="7" borderId="26" xfId="4" applyNumberFormat="1" applyFont="1" applyFill="1" applyBorder="1" applyAlignment="1">
      <alignment horizontal="center" vertical="center" shrinkToFit="1"/>
    </xf>
    <xf numFmtId="169" fontId="36" fillId="7" borderId="29" xfId="4" applyNumberFormat="1" applyFont="1" applyFill="1" applyBorder="1" applyAlignment="1">
      <alignment horizontal="center" vertical="center" shrinkToFit="1"/>
    </xf>
    <xf numFmtId="0" fontId="0" fillId="0" borderId="42" xfId="0" applyBorder="1"/>
    <xf numFmtId="169" fontId="36" fillId="7" borderId="31" xfId="4" applyNumberFormat="1" applyFont="1" applyFill="1" applyBorder="1" applyAlignment="1">
      <alignment horizontal="center" vertical="center" shrinkToFit="1"/>
    </xf>
    <xf numFmtId="0" fontId="39" fillId="0" borderId="0" xfId="4" applyFont="1"/>
    <xf numFmtId="0" fontId="40" fillId="0" borderId="0" xfId="2" applyFont="1" applyAlignment="1">
      <alignment horizontal="right"/>
    </xf>
    <xf numFmtId="170" fontId="5" fillId="0" borderId="0" xfId="0" applyNumberFormat="1" applyFont="1" applyAlignment="1">
      <alignment horizontal="center" vertical="center" wrapText="1"/>
    </xf>
    <xf numFmtId="170" fontId="6" fillId="0" borderId="1" xfId="0" applyNumberFormat="1" applyFont="1" applyBorder="1" applyAlignment="1">
      <alignment horizontal="center" vertical="center"/>
    </xf>
    <xf numFmtId="170" fontId="10" fillId="0" borderId="1" xfId="0" applyNumberFormat="1" applyFont="1" applyBorder="1" applyAlignment="1">
      <alignment horizontal="center" vertical="center"/>
    </xf>
    <xf numFmtId="170" fontId="3" fillId="0" borderId="0" xfId="0" applyNumberFormat="1" applyFont="1"/>
    <xf numFmtId="170" fontId="0" fillId="0" borderId="0" xfId="0" applyNumberFormat="1" applyAlignment="1">
      <alignment horizontal="center"/>
    </xf>
    <xf numFmtId="164" fontId="6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vertical="center" wrapText="1"/>
    </xf>
    <xf numFmtId="0" fontId="2" fillId="11" borderId="0" xfId="0" applyFont="1" applyFill="1" applyAlignment="1">
      <alignment vertical="center" wrapText="1"/>
    </xf>
    <xf numFmtId="0" fontId="0" fillId="0" borderId="1" xfId="0" applyBorder="1" applyAlignment="1">
      <alignment horizontal="center"/>
    </xf>
    <xf numFmtId="169" fontId="37" fillId="8" borderId="1" xfId="4" applyNumberFormat="1" applyFont="1" applyFill="1" applyBorder="1" applyAlignment="1">
      <alignment horizontal="center" vertical="center" shrinkToFit="1"/>
    </xf>
    <xf numFmtId="20" fontId="0" fillId="0" borderId="1" xfId="0" applyNumberFormat="1" applyBorder="1" applyAlignment="1">
      <alignment horizontal="center"/>
    </xf>
    <xf numFmtId="44" fontId="1" fillId="0" borderId="1" xfId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44" fontId="1" fillId="0" borderId="0" xfId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/>
    </xf>
    <xf numFmtId="44" fontId="1" fillId="0" borderId="0" xfId="1" applyFont="1" applyBorder="1"/>
    <xf numFmtId="44" fontId="0" fillId="0" borderId="1" xfId="0" applyNumberFormat="1" applyBorder="1"/>
    <xf numFmtId="44" fontId="2" fillId="0" borderId="0" xfId="0" applyNumberFormat="1" applyFont="1"/>
    <xf numFmtId="0" fontId="2" fillId="0" borderId="0" xfId="0" applyFont="1"/>
    <xf numFmtId="0" fontId="2" fillId="0" borderId="47" xfId="0" applyFont="1" applyBorder="1"/>
    <xf numFmtId="0" fontId="2" fillId="0" borderId="48" xfId="0" applyFont="1" applyBorder="1" applyAlignment="1">
      <alignment horizontal="center"/>
    </xf>
    <xf numFmtId="44" fontId="2" fillId="0" borderId="49" xfId="0" applyNumberFormat="1" applyFont="1" applyBorder="1"/>
    <xf numFmtId="0" fontId="2" fillId="11" borderId="3" xfId="0" applyFont="1" applyFill="1" applyBorder="1" applyAlignment="1">
      <alignment vertical="center" wrapText="1"/>
    </xf>
    <xf numFmtId="44" fontId="0" fillId="0" borderId="3" xfId="0" applyNumberFormat="1" applyBorder="1"/>
    <xf numFmtId="0" fontId="2" fillId="11" borderId="50" xfId="0" applyFont="1" applyFill="1" applyBorder="1" applyAlignment="1">
      <alignment vertical="center" wrapText="1"/>
    </xf>
    <xf numFmtId="0" fontId="2" fillId="11" borderId="51" xfId="0" applyFont="1" applyFill="1" applyBorder="1" applyAlignment="1">
      <alignment vertical="center" wrapText="1"/>
    </xf>
    <xf numFmtId="0" fontId="2" fillId="11" borderId="52" xfId="0" applyFont="1" applyFill="1" applyBorder="1" applyAlignment="1">
      <alignment horizontal="center" vertical="center" wrapText="1"/>
    </xf>
    <xf numFmtId="0" fontId="0" fillId="0" borderId="53" xfId="0" applyBorder="1"/>
    <xf numFmtId="20" fontId="0" fillId="0" borderId="54" xfId="0" applyNumberFormat="1" applyBorder="1" applyAlignment="1">
      <alignment horizontal="center"/>
    </xf>
    <xf numFmtId="44" fontId="0" fillId="0" borderId="55" xfId="1" applyFont="1" applyBorder="1"/>
    <xf numFmtId="0" fontId="0" fillId="0" borderId="56" xfId="0" applyBorder="1"/>
    <xf numFmtId="44" fontId="0" fillId="0" borderId="57" xfId="1" applyFont="1" applyBorder="1"/>
    <xf numFmtId="0" fontId="0" fillId="0" borderId="58" xfId="0" applyBorder="1"/>
    <xf numFmtId="20" fontId="0" fillId="0" borderId="59" xfId="0" applyNumberFormat="1" applyBorder="1" applyAlignment="1">
      <alignment horizontal="center"/>
    </xf>
    <xf numFmtId="44" fontId="0" fillId="0" borderId="60" xfId="1" applyFont="1" applyBorder="1"/>
    <xf numFmtId="0" fontId="2" fillId="11" borderId="2" xfId="0" applyFont="1" applyFill="1" applyBorder="1" applyAlignment="1">
      <alignment horizontal="center" vertical="center" wrapText="1"/>
    </xf>
    <xf numFmtId="0" fontId="2" fillId="11" borderId="53" xfId="0" applyFont="1" applyFill="1" applyBorder="1" applyAlignment="1">
      <alignment vertical="center" wrapText="1"/>
    </xf>
    <xf numFmtId="44" fontId="1" fillId="0" borderId="54" xfId="1" applyFont="1" applyFill="1" applyBorder="1" applyAlignment="1">
      <alignment horizontal="center" vertical="center"/>
    </xf>
    <xf numFmtId="44" fontId="1" fillId="0" borderId="55" xfId="1" applyFont="1" applyBorder="1"/>
    <xf numFmtId="0" fontId="2" fillId="11" borderId="56" xfId="0" applyFont="1" applyFill="1" applyBorder="1" applyAlignment="1">
      <alignment vertical="center" wrapText="1"/>
    </xf>
    <xf numFmtId="44" fontId="1" fillId="0" borderId="57" xfId="1" applyFont="1" applyBorder="1"/>
    <xf numFmtId="0" fontId="2" fillId="11" borderId="58" xfId="0" applyFont="1" applyFill="1" applyBorder="1" applyAlignment="1">
      <alignment vertical="center" wrapText="1"/>
    </xf>
    <xf numFmtId="44" fontId="1" fillId="0" borderId="59" xfId="1" applyFont="1" applyFill="1" applyBorder="1" applyAlignment="1">
      <alignment horizontal="center" vertical="center"/>
    </xf>
    <xf numFmtId="44" fontId="1" fillId="0" borderId="60" xfId="1" applyFont="1" applyBorder="1"/>
    <xf numFmtId="164" fontId="6" fillId="12" borderId="1" xfId="0" applyNumberFormat="1" applyFont="1" applyFill="1" applyBorder="1" applyAlignment="1">
      <alignment horizontal="center" vertical="center"/>
    </xf>
    <xf numFmtId="164" fontId="6" fillId="11" borderId="1" xfId="0" applyNumberFormat="1" applyFont="1" applyFill="1" applyBorder="1" applyAlignment="1">
      <alignment horizontal="center" vertical="center"/>
    </xf>
    <xf numFmtId="1" fontId="6" fillId="11" borderId="1" xfId="0" applyNumberFormat="1" applyFont="1" applyFill="1" applyBorder="1" applyAlignment="1">
      <alignment horizontal="center" vertical="center" wrapText="1"/>
    </xf>
    <xf numFmtId="170" fontId="6" fillId="11" borderId="1" xfId="0" applyNumberFormat="1" applyFont="1" applyFill="1" applyBorder="1" applyAlignment="1">
      <alignment horizontal="center" vertical="center"/>
    </xf>
    <xf numFmtId="165" fontId="7" fillId="11" borderId="1" xfId="0" applyNumberFormat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44" fontId="2" fillId="11" borderId="1" xfId="1" applyFont="1" applyFill="1" applyBorder="1" applyAlignment="1">
      <alignment vertical="center"/>
    </xf>
    <xf numFmtId="44" fontId="2" fillId="11" borderId="1" xfId="1" applyFont="1" applyFill="1" applyBorder="1" applyAlignment="1">
      <alignment horizontal="center" vertical="center"/>
    </xf>
    <xf numFmtId="44" fontId="11" fillId="11" borderId="1" xfId="1" applyFont="1" applyFill="1" applyBorder="1" applyAlignment="1">
      <alignment horizontal="center" vertical="center" wrapText="1"/>
    </xf>
    <xf numFmtId="44" fontId="0" fillId="11" borderId="1" xfId="1" applyFont="1" applyFill="1" applyBorder="1" applyAlignment="1">
      <alignment horizontal="center" vertical="center"/>
    </xf>
    <xf numFmtId="44" fontId="6" fillId="0" borderId="1" xfId="1" applyFont="1" applyFill="1" applyBorder="1" applyAlignment="1">
      <alignment horizontal="center" vertical="center" wrapText="1"/>
    </xf>
    <xf numFmtId="44" fontId="4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171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7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vertical="center" wrapText="1"/>
    </xf>
    <xf numFmtId="164" fontId="6" fillId="13" borderId="1" xfId="0" applyNumberFormat="1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/>
    </xf>
    <xf numFmtId="0" fontId="0" fillId="0" borderId="63" xfId="0" applyBorder="1"/>
    <xf numFmtId="0" fontId="0" fillId="0" borderId="64" xfId="0" applyBorder="1" applyAlignment="1">
      <alignment horizontal="center"/>
    </xf>
    <xf numFmtId="44" fontId="2" fillId="0" borderId="0" xfId="0" applyNumberFormat="1" applyFont="1" applyAlignment="1">
      <alignment horizontal="center"/>
    </xf>
    <xf numFmtId="44" fontId="2" fillId="0" borderId="49" xfId="0" applyNumberFormat="1" applyFont="1" applyBorder="1" applyAlignment="1">
      <alignment horizontal="center"/>
    </xf>
    <xf numFmtId="44" fontId="11" fillId="13" borderId="1" xfId="1" applyFont="1" applyFill="1" applyBorder="1" applyAlignment="1">
      <alignment horizontal="center" vertical="center" wrapText="1"/>
    </xf>
    <xf numFmtId="0" fontId="0" fillId="13" borderId="0" xfId="0" applyFill="1"/>
    <xf numFmtId="0" fontId="2" fillId="13" borderId="0" xfId="0" applyFont="1" applyFill="1"/>
    <xf numFmtId="1" fontId="6" fillId="14" borderId="1" xfId="0" applyNumberFormat="1" applyFont="1" applyFill="1" applyBorder="1" applyAlignment="1">
      <alignment horizontal="center" vertical="center" wrapText="1"/>
    </xf>
    <xf numFmtId="164" fontId="6" fillId="14" borderId="1" xfId="0" applyNumberFormat="1" applyFont="1" applyFill="1" applyBorder="1" applyAlignment="1">
      <alignment horizontal="center" vertical="center"/>
    </xf>
    <xf numFmtId="165" fontId="7" fillId="14" borderId="1" xfId="0" applyNumberFormat="1" applyFont="1" applyFill="1" applyBorder="1" applyAlignment="1">
      <alignment horizontal="center" vertical="center"/>
    </xf>
    <xf numFmtId="44" fontId="11" fillId="14" borderId="1" xfId="1" applyFont="1" applyFill="1" applyBorder="1" applyAlignment="1">
      <alignment horizontal="center" vertical="center" wrapText="1"/>
    </xf>
    <xf numFmtId="0" fontId="0" fillId="14" borderId="0" xfId="0" applyFill="1"/>
    <xf numFmtId="0" fontId="6" fillId="14" borderId="1" xfId="0" applyFont="1" applyFill="1" applyBorder="1" applyAlignment="1">
      <alignment vertical="center" wrapText="1"/>
    </xf>
    <xf numFmtId="0" fontId="45" fillId="0" borderId="1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0" borderId="0" xfId="0" applyFont="1"/>
    <xf numFmtId="0" fontId="0" fillId="10" borderId="0" xfId="0" applyFill="1"/>
    <xf numFmtId="164" fontId="6" fillId="15" borderId="1" xfId="0" applyNumberFormat="1" applyFont="1" applyFill="1" applyBorder="1" applyAlignment="1">
      <alignment horizontal="center" vertical="center"/>
    </xf>
    <xf numFmtId="0" fontId="0" fillId="15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2" fillId="16" borderId="1" xfId="0" applyFont="1" applyFill="1" applyBorder="1" applyAlignment="1">
      <alignment vertical="center" wrapText="1"/>
    </xf>
    <xf numFmtId="1" fontId="6" fillId="16" borderId="1" xfId="0" applyNumberFormat="1" applyFont="1" applyFill="1" applyBorder="1" applyAlignment="1">
      <alignment horizontal="center" vertical="center" wrapText="1"/>
    </xf>
    <xf numFmtId="164" fontId="6" fillId="16" borderId="1" xfId="0" applyNumberFormat="1" applyFont="1" applyFill="1" applyBorder="1" applyAlignment="1">
      <alignment horizontal="center" vertical="center"/>
    </xf>
    <xf numFmtId="170" fontId="2" fillId="16" borderId="1" xfId="0" applyNumberFormat="1" applyFont="1" applyFill="1" applyBorder="1" applyAlignment="1">
      <alignment horizontal="center" vertical="center"/>
    </xf>
    <xf numFmtId="165" fontId="7" fillId="16" borderId="1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/>
    </xf>
    <xf numFmtId="44" fontId="2" fillId="16" borderId="1" xfId="1" applyFont="1" applyFill="1" applyBorder="1" applyAlignment="1">
      <alignment vertical="center"/>
    </xf>
    <xf numFmtId="44" fontId="2" fillId="16" borderId="1" xfId="1" applyFont="1" applyFill="1" applyBorder="1" applyAlignment="1">
      <alignment horizontal="center" vertical="center"/>
    </xf>
    <xf numFmtId="44" fontId="11" fillId="16" borderId="1" xfId="1" applyFont="1" applyFill="1" applyBorder="1" applyAlignment="1">
      <alignment horizontal="center" vertical="center" wrapText="1"/>
    </xf>
    <xf numFmtId="0" fontId="2" fillId="16" borderId="0" xfId="0" applyFont="1" applyFill="1"/>
    <xf numFmtId="0" fontId="0" fillId="0" borderId="0" xfId="0" applyAlignment="1">
      <alignment horizontal="left" wrapText="1"/>
    </xf>
    <xf numFmtId="0" fontId="6" fillId="16" borderId="1" xfId="0" applyFont="1" applyFill="1" applyBorder="1" applyAlignment="1">
      <alignment vertical="center" wrapText="1"/>
    </xf>
    <xf numFmtId="44" fontId="0" fillId="16" borderId="1" xfId="1" applyFont="1" applyFill="1" applyBorder="1" applyAlignment="1">
      <alignment horizontal="center" vertical="center"/>
    </xf>
    <xf numFmtId="164" fontId="6" fillId="17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" fillId="17" borderId="0" xfId="0" applyFont="1" applyFill="1"/>
    <xf numFmtId="0" fontId="0" fillId="0" borderId="1" xfId="0" applyBorder="1"/>
    <xf numFmtId="44" fontId="0" fillId="0" borderId="0" xfId="1" applyFont="1"/>
    <xf numFmtId="44" fontId="2" fillId="0" borderId="0" xfId="1" applyFont="1"/>
    <xf numFmtId="44" fontId="0" fillId="0" borderId="1" xfId="1" applyFont="1" applyBorder="1"/>
    <xf numFmtId="0" fontId="2" fillId="0" borderId="0" xfId="0" applyFont="1" applyAlignment="1">
      <alignment vertical="center"/>
    </xf>
    <xf numFmtId="44" fontId="2" fillId="0" borderId="0" xfId="1" applyFont="1" applyAlignment="1">
      <alignment vertical="center"/>
    </xf>
    <xf numFmtId="44" fontId="2" fillId="0" borderId="0" xfId="1" applyFont="1" applyAlignment="1">
      <alignment horizontal="center" vertical="center" wrapText="1"/>
    </xf>
    <xf numFmtId="44" fontId="0" fillId="0" borderId="1" xfId="1" applyFont="1" applyBorder="1" applyAlignment="1">
      <alignment horizontal="center"/>
    </xf>
    <xf numFmtId="0" fontId="2" fillId="18" borderId="0" xfId="0" applyFont="1" applyFill="1"/>
    <xf numFmtId="0" fontId="2" fillId="18" borderId="68" xfId="0" applyFont="1" applyFill="1" applyBorder="1"/>
    <xf numFmtId="0" fontId="0" fillId="0" borderId="69" xfId="0" applyBorder="1" applyProtection="1">
      <protection locked="0"/>
    </xf>
    <xf numFmtId="0" fontId="11" fillId="0" borderId="69" xfId="0" applyFont="1" applyBorder="1" applyProtection="1">
      <protection locked="0"/>
    </xf>
    <xf numFmtId="0" fontId="0" fillId="0" borderId="70" xfId="0" applyBorder="1" applyProtection="1">
      <protection locked="0"/>
    </xf>
    <xf numFmtId="44" fontId="1" fillId="15" borderId="70" xfId="1" applyFont="1" applyFill="1" applyBorder="1" applyAlignment="1" applyProtection="1">
      <alignment horizontal="center"/>
      <protection locked="0"/>
    </xf>
    <xf numFmtId="44" fontId="11" fillId="15" borderId="70" xfId="1" applyFont="1" applyFill="1" applyBorder="1" applyAlignment="1" applyProtection="1">
      <alignment horizontal="center"/>
      <protection locked="0"/>
    </xf>
    <xf numFmtId="44" fontId="1" fillId="0" borderId="70" xfId="1" applyFont="1" applyBorder="1" applyAlignment="1" applyProtection="1">
      <alignment horizontal="center"/>
      <protection locked="0"/>
    </xf>
    <xf numFmtId="0" fontId="0" fillId="0" borderId="71" xfId="0" applyBorder="1" applyProtection="1">
      <protection locked="0"/>
    </xf>
    <xf numFmtId="0" fontId="0" fillId="0" borderId="72" xfId="0" applyBorder="1" applyProtection="1">
      <protection locked="0"/>
    </xf>
    <xf numFmtId="44" fontId="1" fillId="15" borderId="72" xfId="1" applyFont="1" applyFill="1" applyBorder="1" applyAlignment="1" applyProtection="1">
      <alignment horizontal="center"/>
      <protection locked="0"/>
    </xf>
    <xf numFmtId="44" fontId="11" fillId="15" borderId="72" xfId="1" applyFont="1" applyFill="1" applyBorder="1" applyAlignment="1" applyProtection="1">
      <alignment horizontal="center"/>
      <protection locked="0"/>
    </xf>
    <xf numFmtId="44" fontId="1" fillId="10" borderId="72" xfId="1" applyFont="1" applyFill="1" applyBorder="1" applyAlignment="1" applyProtection="1">
      <alignment horizontal="center"/>
      <protection locked="0"/>
    </xf>
    <xf numFmtId="44" fontId="11" fillId="10" borderId="72" xfId="1" applyFont="1" applyFill="1" applyBorder="1" applyAlignment="1" applyProtection="1">
      <alignment horizontal="center"/>
      <protection locked="0"/>
    </xf>
    <xf numFmtId="44" fontId="1" fillId="0" borderId="72" xfId="1" applyFont="1" applyBorder="1" applyAlignment="1" applyProtection="1">
      <alignment horizontal="center"/>
      <protection locked="0"/>
    </xf>
    <xf numFmtId="44" fontId="2" fillId="18" borderId="68" xfId="1" applyFont="1" applyFill="1" applyBorder="1"/>
    <xf numFmtId="44" fontId="2" fillId="15" borderId="68" xfId="1" applyFont="1" applyFill="1" applyBorder="1"/>
    <xf numFmtId="0" fontId="11" fillId="15" borderId="69" xfId="0" applyFont="1" applyFill="1" applyBorder="1" applyProtection="1">
      <protection locked="0"/>
    </xf>
    <xf numFmtId="44" fontId="1" fillId="15" borderId="68" xfId="1" applyFont="1" applyFill="1" applyBorder="1"/>
    <xf numFmtId="44" fontId="0" fillId="15" borderId="75" xfId="1" applyFont="1" applyFill="1" applyBorder="1" applyProtection="1">
      <protection locked="0"/>
    </xf>
    <xf numFmtId="44" fontId="2" fillId="0" borderId="68" xfId="1" applyFont="1" applyBorder="1" applyAlignment="1" applyProtection="1">
      <alignment horizontal="center" vertical="center"/>
    </xf>
    <xf numFmtId="0" fontId="2" fillId="16" borderId="73" xfId="0" applyFont="1" applyFill="1" applyBorder="1"/>
    <xf numFmtId="0" fontId="2" fillId="16" borderId="68" xfId="0" applyFont="1" applyFill="1" applyBorder="1"/>
    <xf numFmtId="44" fontId="2" fillId="16" borderId="68" xfId="0" applyNumberFormat="1" applyFont="1" applyFill="1" applyBorder="1"/>
    <xf numFmtId="44" fontId="2" fillId="16" borderId="68" xfId="1" applyFont="1" applyFill="1" applyBorder="1"/>
    <xf numFmtId="0" fontId="0" fillId="16" borderId="0" xfId="0" applyFill="1"/>
    <xf numFmtId="44" fontId="2" fillId="16" borderId="74" xfId="1" applyFont="1" applyFill="1" applyBorder="1"/>
    <xf numFmtId="0" fontId="0" fillId="16" borderId="73" xfId="0" applyFill="1" applyBorder="1"/>
    <xf numFmtId="44" fontId="2" fillId="16" borderId="0" xfId="1" applyFont="1" applyFill="1"/>
    <xf numFmtId="172" fontId="2" fillId="15" borderId="1" xfId="0" applyNumberFormat="1" applyFont="1" applyFill="1" applyBorder="1" applyAlignment="1">
      <alignment horizontal="center"/>
    </xf>
    <xf numFmtId="44" fontId="2" fillId="0" borderId="1" xfId="1" applyFont="1" applyBorder="1"/>
    <xf numFmtId="8" fontId="0" fillId="0" borderId="0" xfId="0" applyNumberFormat="1"/>
    <xf numFmtId="0" fontId="11" fillId="0" borderId="0" xfId="0" applyFont="1" applyProtection="1">
      <protection locked="0"/>
    </xf>
    <xf numFmtId="44" fontId="11" fillId="0" borderId="70" xfId="1" applyFont="1" applyFill="1" applyBorder="1" applyAlignment="1" applyProtection="1">
      <alignment horizontal="center"/>
      <protection locked="0"/>
    </xf>
    <xf numFmtId="44" fontId="1" fillId="0" borderId="72" xfId="1" applyFont="1" applyFill="1" applyBorder="1" applyAlignment="1" applyProtection="1">
      <alignment horizontal="center"/>
      <protection locked="0"/>
    </xf>
    <xf numFmtId="172" fontId="2" fillId="10" borderId="1" xfId="0" applyNumberFormat="1" applyFont="1" applyFill="1" applyBorder="1" applyAlignment="1">
      <alignment horizontal="center"/>
    </xf>
    <xf numFmtId="44" fontId="2" fillId="10" borderId="68" xfId="1" applyFont="1" applyFill="1" applyBorder="1" applyAlignment="1" applyProtection="1">
      <alignment horizontal="center" vertical="center"/>
    </xf>
    <xf numFmtId="0" fontId="2" fillId="10" borderId="68" xfId="0" applyFont="1" applyFill="1" applyBorder="1"/>
    <xf numFmtId="44" fontId="2" fillId="10" borderId="74" xfId="1" applyFont="1" applyFill="1" applyBorder="1"/>
    <xf numFmtId="44" fontId="2" fillId="10" borderId="68" xfId="1" applyFont="1" applyFill="1" applyBorder="1"/>
    <xf numFmtId="44" fontId="1" fillId="10" borderId="70" xfId="1" applyFont="1" applyFill="1" applyBorder="1" applyAlignment="1" applyProtection="1">
      <alignment horizontal="center"/>
      <protection locked="0"/>
    </xf>
    <xf numFmtId="8" fontId="0" fillId="10" borderId="0" xfId="0" applyNumberFormat="1" applyFill="1"/>
    <xf numFmtId="0" fontId="0" fillId="0" borderId="0" xfId="0" applyProtection="1">
      <protection locked="0"/>
    </xf>
    <xf numFmtId="0" fontId="0" fillId="0" borderId="68" xfId="0" applyBorder="1" applyProtection="1">
      <protection locked="0"/>
    </xf>
    <xf numFmtId="44" fontId="1" fillId="15" borderId="68" xfId="1" applyFont="1" applyFill="1" applyBorder="1" applyAlignment="1" applyProtection="1">
      <alignment horizontal="center"/>
      <protection locked="0"/>
    </xf>
    <xf numFmtId="44" fontId="11" fillId="15" borderId="68" xfId="1" applyFont="1" applyFill="1" applyBorder="1" applyAlignment="1" applyProtection="1">
      <alignment horizontal="center"/>
      <protection locked="0"/>
    </xf>
    <xf numFmtId="44" fontId="1" fillId="0" borderId="68" xfId="1" applyFont="1" applyFill="1" applyBorder="1" applyAlignment="1" applyProtection="1">
      <alignment horizontal="center"/>
      <protection locked="0"/>
    </xf>
    <xf numFmtId="44" fontId="0" fillId="10" borderId="0" xfId="1" applyFont="1" applyFill="1"/>
    <xf numFmtId="0" fontId="0" fillId="0" borderId="2" xfId="0" applyBorder="1"/>
    <xf numFmtId="44" fontId="0" fillId="0" borderId="2" xfId="1" applyFont="1" applyBorder="1"/>
    <xf numFmtId="44" fontId="0" fillId="0" borderId="2" xfId="1" applyFont="1" applyBorder="1" applyAlignment="1">
      <alignment horizontal="center"/>
    </xf>
    <xf numFmtId="44" fontId="6" fillId="14" borderId="1" xfId="1" applyFont="1" applyFill="1" applyBorder="1" applyAlignment="1">
      <alignment horizontal="center" vertical="center" wrapText="1"/>
    </xf>
    <xf numFmtId="44" fontId="6" fillId="11" borderId="1" xfId="1" applyFont="1" applyFill="1" applyBorder="1" applyAlignment="1">
      <alignment horizontal="center" vertical="center" wrapText="1"/>
    </xf>
    <xf numFmtId="44" fontId="6" fillId="16" borderId="1" xfId="1" applyFont="1" applyFill="1" applyBorder="1" applyAlignment="1">
      <alignment horizontal="center" vertical="center" wrapText="1"/>
    </xf>
    <xf numFmtId="44" fontId="0" fillId="0" borderId="0" xfId="0" applyNumberFormat="1" applyAlignment="1">
      <alignment horizontal="center"/>
    </xf>
    <xf numFmtId="44" fontId="0" fillId="0" borderId="0" xfId="0" applyNumberFormat="1"/>
    <xf numFmtId="44" fontId="9" fillId="19" borderId="0" xfId="1" applyFont="1" applyFill="1"/>
    <xf numFmtId="44" fontId="0" fillId="0" borderId="0" xfId="0" applyNumberFormat="1" applyAlignment="1">
      <alignment horizontal="center" wrapText="1"/>
    </xf>
    <xf numFmtId="0" fontId="0" fillId="0" borderId="0" xfId="0" pivotButton="1" applyAlignment="1">
      <alignment wrapText="1"/>
    </xf>
    <xf numFmtId="0" fontId="9" fillId="19" borderId="0" xfId="0" applyFont="1" applyFill="1" applyAlignment="1">
      <alignment horizontal="left" wrapText="1"/>
    </xf>
    <xf numFmtId="44" fontId="0" fillId="0" borderId="2" xfId="0" applyNumberFormat="1" applyBorder="1" applyAlignment="1">
      <alignment horizontal="center"/>
    </xf>
    <xf numFmtId="0" fontId="0" fillId="0" borderId="0" xfId="0" applyAlignment="1">
      <alignment horizontal="left"/>
    </xf>
    <xf numFmtId="0" fontId="2" fillId="14" borderId="0" xfId="0" applyFont="1" applyFill="1"/>
    <xf numFmtId="0" fontId="2" fillId="0" borderId="1" xfId="0" applyFont="1" applyBorder="1" applyAlignment="1">
      <alignment horizontal="center"/>
    </xf>
    <xf numFmtId="44" fontId="0" fillId="10" borderId="1" xfId="0" applyNumberFormat="1" applyFill="1" applyBorder="1"/>
    <xf numFmtId="44" fontId="11" fillId="0" borderId="62" xfId="1" applyFont="1" applyFill="1" applyBorder="1" applyAlignment="1">
      <alignment horizontal="center" vertical="center" wrapText="1"/>
    </xf>
    <xf numFmtId="14" fontId="2" fillId="0" borderId="56" xfId="0" applyNumberFormat="1" applyFont="1" applyBorder="1" applyAlignment="1">
      <alignment horizontal="center"/>
    </xf>
    <xf numFmtId="20" fontId="0" fillId="0" borderId="57" xfId="0" applyNumberFormat="1" applyBorder="1" applyAlignment="1">
      <alignment horizontal="center"/>
    </xf>
    <xf numFmtId="14" fontId="2" fillId="0" borderId="58" xfId="0" applyNumberFormat="1" applyFont="1" applyBorder="1" applyAlignment="1">
      <alignment horizontal="center"/>
    </xf>
    <xf numFmtId="20" fontId="0" fillId="0" borderId="60" xfId="0" applyNumberFormat="1" applyBorder="1" applyAlignment="1">
      <alignment horizontal="center"/>
    </xf>
    <xf numFmtId="49" fontId="2" fillId="0" borderId="58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2" fillId="0" borderId="58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vertical="center"/>
    </xf>
    <xf numFmtId="1" fontId="9" fillId="19" borderId="0" xfId="1" applyNumberFormat="1" applyFont="1" applyFill="1" applyAlignment="1">
      <alignment horizontal="center"/>
    </xf>
    <xf numFmtId="44" fontId="9" fillId="0" borderId="0" xfId="1" applyFont="1" applyFill="1"/>
    <xf numFmtId="44" fontId="0" fillId="0" borderId="0" xfId="0" applyNumberFormat="1" applyAlignment="1">
      <alignment vertical="center"/>
    </xf>
    <xf numFmtId="44" fontId="2" fillId="0" borderId="0" xfId="0" applyNumberFormat="1" applyFont="1" applyAlignment="1">
      <alignment vertical="center"/>
    </xf>
    <xf numFmtId="44" fontId="9" fillId="19" borderId="0" xfId="1" applyFont="1" applyFill="1" applyAlignment="1">
      <alignment vertical="center"/>
    </xf>
    <xf numFmtId="0" fontId="9" fillId="19" borderId="0" xfId="0" applyFont="1" applyFill="1" applyAlignment="1">
      <alignment horizontal="left" vertical="center" wrapText="1"/>
    </xf>
    <xf numFmtId="0" fontId="47" fillId="10" borderId="1" xfId="0" applyFont="1" applyFill="1" applyBorder="1" applyAlignment="1">
      <alignment vertical="center" wrapText="1"/>
    </xf>
    <xf numFmtId="0" fontId="0" fillId="0" borderId="0" xfId="0" applyAlignment="1">
      <alignment horizontal="left" indent="1"/>
    </xf>
    <xf numFmtId="0" fontId="47" fillId="17" borderId="0" xfId="0" applyFont="1" applyFill="1"/>
    <xf numFmtId="0" fontId="47" fillId="0" borderId="0" xfId="0" applyFont="1"/>
    <xf numFmtId="0" fontId="46" fillId="0" borderId="0" xfId="0" applyFont="1"/>
    <xf numFmtId="0" fontId="48" fillId="0" borderId="0" xfId="0" applyFont="1"/>
    <xf numFmtId="0" fontId="46" fillId="10" borderId="0" xfId="0" applyFont="1" applyFill="1"/>
    <xf numFmtId="164" fontId="6" fillId="0" borderId="0" xfId="0" applyNumberFormat="1" applyFont="1" applyAlignment="1">
      <alignment horizontal="center" vertical="center" wrapText="1"/>
    </xf>
    <xf numFmtId="170" fontId="6" fillId="14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/>
    </xf>
    <xf numFmtId="44" fontId="6" fillId="14" borderId="1" xfId="1" applyFont="1" applyFill="1" applyBorder="1" applyAlignment="1">
      <alignment vertical="center"/>
    </xf>
    <xf numFmtId="44" fontId="6" fillId="14" borderId="1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4" fontId="6" fillId="0" borderId="1" xfId="1" applyFont="1" applyFill="1" applyBorder="1" applyAlignment="1">
      <alignment vertical="center"/>
    </xf>
    <xf numFmtId="44" fontId="6" fillId="0" borderId="1" xfId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44" fontId="6" fillId="11" borderId="1" xfId="1" applyFont="1" applyFill="1" applyBorder="1" applyAlignment="1">
      <alignment vertical="center"/>
    </xf>
    <xf numFmtId="44" fontId="6" fillId="11" borderId="1" xfId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44" fontId="6" fillId="0" borderId="61" xfId="1" applyFont="1" applyFill="1" applyBorder="1" applyAlignment="1">
      <alignment vertical="center"/>
    </xf>
    <xf numFmtId="44" fontId="6" fillId="0" borderId="62" xfId="1" applyFont="1" applyFill="1" applyBorder="1" applyAlignment="1">
      <alignment horizontal="center" vertical="center"/>
    </xf>
    <xf numFmtId="44" fontId="11" fillId="20" borderId="1" xfId="1" applyFont="1" applyFill="1" applyBorder="1" applyAlignment="1">
      <alignment horizontal="center" vertical="center" wrapText="1"/>
    </xf>
    <xf numFmtId="44" fontId="11" fillId="20" borderId="62" xfId="1" applyFont="1" applyFill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/>
    <xf numFmtId="170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/>
    <xf numFmtId="0" fontId="45" fillId="0" borderId="1" xfId="0" applyFont="1" applyBorder="1" applyAlignment="1">
      <alignment vertical="center"/>
    </xf>
    <xf numFmtId="44" fontId="45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wrapText="1"/>
    </xf>
    <xf numFmtId="0" fontId="51" fillId="0" borderId="0" xfId="0" applyFont="1"/>
    <xf numFmtId="0" fontId="51" fillId="0" borderId="0" xfId="0" applyFont="1" applyAlignment="1">
      <alignment wrapText="1"/>
    </xf>
    <xf numFmtId="170" fontId="51" fillId="0" borderId="0" xfId="0" applyNumberFormat="1" applyFont="1"/>
    <xf numFmtId="44" fontId="51" fillId="0" borderId="0" xfId="1" applyFont="1"/>
    <xf numFmtId="44" fontId="51" fillId="0" borderId="0" xfId="0" applyNumberFormat="1" applyFont="1" applyAlignment="1">
      <alignment horizontal="center"/>
    </xf>
    <xf numFmtId="14" fontId="51" fillId="0" borderId="0" xfId="0" applyNumberFormat="1" applyFont="1"/>
    <xf numFmtId="0" fontId="11" fillId="0" borderId="0" xfId="0" applyFont="1" applyAlignment="1">
      <alignment horizontal="center"/>
    </xf>
    <xf numFmtId="14" fontId="5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 wrapText="1"/>
    </xf>
    <xf numFmtId="170" fontId="11" fillId="0" borderId="0" xfId="0" applyNumberFormat="1" applyFont="1" applyAlignment="1">
      <alignment horizontal="center"/>
    </xf>
    <xf numFmtId="44" fontId="11" fillId="0" borderId="0" xfId="1" applyFont="1" applyAlignment="1">
      <alignment horizontal="center"/>
    </xf>
    <xf numFmtId="14" fontId="11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44" fontId="5" fillId="0" borderId="0" xfId="1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4" fontId="5" fillId="0" borderId="0" xfId="1" applyFont="1" applyAlignment="1">
      <alignment vertical="center" wrapText="1"/>
    </xf>
    <xf numFmtId="0" fontId="49" fillId="0" borderId="0" xfId="0" applyFont="1" applyAlignment="1">
      <alignment vertical="center" wrapText="1"/>
    </xf>
    <xf numFmtId="0" fontId="46" fillId="0" borderId="69" xfId="0" applyFont="1" applyBorder="1" applyProtection="1">
      <protection locked="0"/>
    </xf>
    <xf numFmtId="0" fontId="11" fillId="0" borderId="71" xfId="0" applyFont="1" applyBorder="1" applyProtection="1">
      <protection locked="0"/>
    </xf>
    <xf numFmtId="0" fontId="46" fillId="0" borderId="71" xfId="0" applyFont="1" applyBorder="1" applyProtection="1">
      <protection locked="0"/>
    </xf>
    <xf numFmtId="44" fontId="11" fillId="0" borderId="72" xfId="1" applyFont="1" applyFill="1" applyBorder="1" applyAlignment="1" applyProtection="1">
      <alignment horizontal="center"/>
      <protection locked="0"/>
    </xf>
    <xf numFmtId="44" fontId="2" fillId="0" borderId="0" xfId="1" applyFont="1" applyFill="1"/>
    <xf numFmtId="44" fontId="11" fillId="0" borderId="68" xfId="1" applyFont="1" applyFill="1" applyBorder="1" applyAlignment="1" applyProtection="1">
      <alignment horizontal="center"/>
      <protection locked="0"/>
    </xf>
    <xf numFmtId="0" fontId="46" fillId="14" borderId="0" xfId="0" applyFont="1" applyFill="1"/>
    <xf numFmtId="0" fontId="47" fillId="14" borderId="0" xfId="0" applyFont="1" applyFill="1"/>
    <xf numFmtId="0" fontId="52" fillId="0" borderId="0" xfId="0" applyFont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vertical="center"/>
    </xf>
    <xf numFmtId="0" fontId="53" fillId="0" borderId="0" xfId="0" applyFont="1" applyAlignment="1">
      <alignment horizontal="center"/>
    </xf>
    <xf numFmtId="14" fontId="53" fillId="0" borderId="0" xfId="0" applyNumberFormat="1" applyFont="1" applyAlignment="1">
      <alignment vertical="center" wrapText="1"/>
    </xf>
    <xf numFmtId="0" fontId="55" fillId="0" borderId="0" xfId="0" applyFont="1" applyAlignment="1">
      <alignment vertical="center" wrapText="1"/>
    </xf>
    <xf numFmtId="0" fontId="58" fillId="0" borderId="0" xfId="0" applyFont="1" applyAlignment="1">
      <alignment vertical="center"/>
    </xf>
    <xf numFmtId="44" fontId="6" fillId="0" borderId="0" xfId="1" applyFont="1" applyAlignment="1">
      <alignment vertical="center" wrapText="1"/>
    </xf>
    <xf numFmtId="0" fontId="56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6" fillId="10" borderId="1" xfId="0" applyFont="1" applyFill="1" applyBorder="1" applyAlignment="1">
      <alignment vertical="center" wrapText="1"/>
    </xf>
    <xf numFmtId="1" fontId="6" fillId="10" borderId="1" xfId="0" applyNumberFormat="1" applyFont="1" applyFill="1" applyBorder="1" applyAlignment="1">
      <alignment horizontal="center" vertical="center" wrapText="1"/>
    </xf>
    <xf numFmtId="170" fontId="6" fillId="10" borderId="1" xfId="0" applyNumberFormat="1" applyFont="1" applyFill="1" applyBorder="1" applyAlignment="1">
      <alignment horizontal="center" vertical="center"/>
    </xf>
    <xf numFmtId="165" fontId="7" fillId="1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 wrapText="1"/>
    </xf>
    <xf numFmtId="0" fontId="6" fillId="10" borderId="0" xfId="0" applyFont="1" applyFill="1" applyAlignment="1">
      <alignment vertical="center"/>
    </xf>
    <xf numFmtId="0" fontId="47" fillId="10" borderId="0" xfId="0" applyFont="1" applyFill="1"/>
    <xf numFmtId="0" fontId="2" fillId="0" borderId="3" xfId="0" applyFont="1" applyBorder="1" applyAlignment="1">
      <alignment horizontal="center" vertical="center" wrapText="1"/>
    </xf>
    <xf numFmtId="0" fontId="2" fillId="0" borderId="76" xfId="0" applyFont="1" applyBorder="1" applyAlignment="1">
      <alignment horizontal="center" vertical="top"/>
    </xf>
    <xf numFmtId="0" fontId="2" fillId="0" borderId="77" xfId="0" applyFont="1" applyBorder="1" applyAlignment="1">
      <alignment horizontal="center" vertical="top"/>
    </xf>
    <xf numFmtId="0" fontId="2" fillId="0" borderId="78" xfId="0" applyFont="1" applyBorder="1" applyAlignment="1">
      <alignment horizontal="center" vertical="top"/>
    </xf>
    <xf numFmtId="0" fontId="50" fillId="0" borderId="62" xfId="0" applyFont="1" applyBorder="1" applyAlignment="1">
      <alignment horizontal="center" vertical="center"/>
    </xf>
    <xf numFmtId="44" fontId="6" fillId="10" borderId="1" xfId="1" applyFont="1" applyFill="1" applyBorder="1" applyAlignment="1">
      <alignment vertical="center"/>
    </xf>
    <xf numFmtId="44" fontId="11" fillId="10" borderId="1" xfId="1" applyFont="1" applyFill="1" applyBorder="1" applyAlignment="1">
      <alignment horizontal="center" vertical="center" wrapText="1"/>
    </xf>
    <xf numFmtId="44" fontId="6" fillId="14" borderId="61" xfId="1" applyFont="1" applyFill="1" applyBorder="1" applyAlignment="1">
      <alignment horizontal="center" vertical="center"/>
    </xf>
    <xf numFmtId="0" fontId="50" fillId="0" borderId="61" xfId="0" applyFont="1" applyBorder="1" applyAlignment="1">
      <alignment horizontal="center" vertical="center" wrapText="1"/>
    </xf>
    <xf numFmtId="44" fontId="5" fillId="0" borderId="0" xfId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11" fillId="0" borderId="1" xfId="0" applyFont="1" applyBorder="1" applyAlignment="1">
      <alignment vertical="center" wrapText="1"/>
    </xf>
    <xf numFmtId="0" fontId="11" fillId="10" borderId="1" xfId="0" applyFont="1" applyFill="1" applyBorder="1" applyAlignment="1">
      <alignment vertical="center" wrapText="1"/>
    </xf>
    <xf numFmtId="0" fontId="50" fillId="0" borderId="1" xfId="0" applyFont="1" applyBorder="1" applyAlignment="1">
      <alignment horizontal="center" vertical="center" wrapText="1"/>
    </xf>
    <xf numFmtId="0" fontId="5" fillId="21" borderId="83" xfId="0" applyFont="1" applyFill="1" applyBorder="1" applyAlignment="1">
      <alignment horizontal="center" vertical="top"/>
    </xf>
    <xf numFmtId="0" fontId="2" fillId="0" borderId="85" xfId="0" applyFont="1" applyBorder="1" applyAlignment="1">
      <alignment horizontal="center" vertical="top"/>
    </xf>
    <xf numFmtId="0" fontId="2" fillId="0" borderId="86" xfId="0" applyFont="1" applyBorder="1" applyAlignment="1">
      <alignment horizontal="center" vertical="center" wrapText="1"/>
    </xf>
    <xf numFmtId="0" fontId="0" fillId="24" borderId="84" xfId="0" applyFill="1" applyBorder="1" applyAlignment="1">
      <alignment horizontal="center" vertical="center" wrapText="1"/>
    </xf>
    <xf numFmtId="0" fontId="0" fillId="24" borderId="79" xfId="0" applyFill="1" applyBorder="1" applyAlignment="1">
      <alignment horizontal="center" vertical="center" wrapText="1"/>
    </xf>
    <xf numFmtId="0" fontId="2" fillId="0" borderId="87" xfId="0" applyFont="1" applyBorder="1" applyAlignment="1">
      <alignment horizontal="center" vertical="center" wrapText="1"/>
    </xf>
    <xf numFmtId="0" fontId="0" fillId="22" borderId="79" xfId="0" applyFill="1" applyBorder="1" applyAlignment="1">
      <alignment horizontal="center" vertical="center" wrapText="1"/>
    </xf>
    <xf numFmtId="0" fontId="0" fillId="23" borderId="79" xfId="0" applyFill="1" applyBorder="1" applyAlignment="1">
      <alignment horizontal="center" vertical="center" wrapText="1"/>
    </xf>
    <xf numFmtId="0" fontId="2" fillId="0" borderId="61" xfId="0" applyFont="1" applyBorder="1" applyAlignment="1">
      <alignment horizontal="center" vertical="center" wrapText="1"/>
    </xf>
    <xf numFmtId="0" fontId="0" fillId="24" borderId="88" xfId="0" applyFill="1" applyBorder="1" applyAlignment="1">
      <alignment horizontal="center" vertical="center" wrapText="1"/>
    </xf>
    <xf numFmtId="0" fontId="0" fillId="24" borderId="81" xfId="0" applyFill="1" applyBorder="1" applyAlignment="1">
      <alignment horizontal="center" vertical="center" wrapText="1"/>
    </xf>
    <xf numFmtId="0" fontId="5" fillId="21" borderId="84" xfId="0" applyFont="1" applyFill="1" applyBorder="1" applyAlignment="1">
      <alignment horizontal="center" vertical="center" wrapText="1"/>
    </xf>
    <xf numFmtId="0" fontId="5" fillId="21" borderId="79" xfId="0" applyFont="1" applyFill="1" applyBorder="1" applyAlignment="1">
      <alignment horizontal="center" vertical="center" wrapText="1"/>
    </xf>
    <xf numFmtId="14" fontId="2" fillId="0" borderId="84" xfId="0" applyNumberFormat="1" applyFont="1" applyBorder="1" applyAlignment="1">
      <alignment horizontal="center" vertical="center" wrapText="1"/>
    </xf>
    <xf numFmtId="14" fontId="2" fillId="0" borderId="79" xfId="0" applyNumberFormat="1" applyFont="1" applyBorder="1" applyAlignment="1">
      <alignment horizontal="center" vertical="center" wrapText="1"/>
    </xf>
    <xf numFmtId="14" fontId="2" fillId="0" borderId="80" xfId="0" applyNumberFormat="1" applyFont="1" applyBorder="1" applyAlignment="1">
      <alignment horizontal="center" vertical="center" wrapText="1"/>
    </xf>
    <xf numFmtId="0" fontId="0" fillId="24" borderId="80" xfId="0" applyFill="1" applyBorder="1" applyAlignment="1">
      <alignment horizontal="center" vertical="center" wrapText="1"/>
    </xf>
    <xf numFmtId="0" fontId="0" fillId="25" borderId="79" xfId="0" applyFill="1" applyBorder="1" applyAlignment="1">
      <alignment horizontal="center" vertical="center" wrapText="1"/>
    </xf>
    <xf numFmtId="0" fontId="0" fillId="23" borderId="81" xfId="0" applyFill="1" applyBorder="1" applyAlignment="1">
      <alignment horizontal="center" vertical="center" wrapText="1"/>
    </xf>
    <xf numFmtId="0" fontId="0" fillId="22" borderId="81" xfId="0" applyFill="1" applyBorder="1" applyAlignment="1">
      <alignment horizontal="center" vertical="center" wrapText="1"/>
    </xf>
    <xf numFmtId="0" fontId="0" fillId="24" borderId="82" xfId="0" applyFill="1" applyBorder="1" applyAlignment="1">
      <alignment horizontal="center" vertical="center" wrapText="1"/>
    </xf>
    <xf numFmtId="4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19" borderId="0" xfId="0" applyFont="1" applyFill="1" applyAlignment="1">
      <alignment horizontal="center"/>
    </xf>
    <xf numFmtId="0" fontId="2" fillId="0" borderId="65" xfId="0" applyFont="1" applyBorder="1" applyAlignment="1">
      <alignment horizontal="center"/>
    </xf>
    <xf numFmtId="0" fontId="2" fillId="0" borderId="66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66" fontId="28" fillId="4" borderId="13" xfId="3" quotePrefix="1" applyNumberFormat="1" applyFont="1" applyFill="1" applyBorder="1" applyAlignment="1">
      <alignment horizontal="center" vertical="center" shrinkToFit="1"/>
    </xf>
    <xf numFmtId="0" fontId="29" fillId="4" borderId="13" xfId="3" applyFont="1" applyFill="1" applyBorder="1" applyAlignment="1">
      <alignment horizontal="center" vertical="center" shrinkToFit="1"/>
    </xf>
    <xf numFmtId="166" fontId="28" fillId="4" borderId="13" xfId="4" quotePrefix="1" applyNumberFormat="1" applyFont="1" applyFill="1" applyBorder="1" applyAlignment="1">
      <alignment horizontal="center" vertical="center" shrinkToFit="1"/>
    </xf>
    <xf numFmtId="0" fontId="29" fillId="4" borderId="13" xfId="4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/>
    </xf>
    <xf numFmtId="0" fontId="0" fillId="0" borderId="9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 vertical="center"/>
    </xf>
    <xf numFmtId="0" fontId="15" fillId="3" borderId="7" xfId="0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left" wrapText="1"/>
    </xf>
    <xf numFmtId="0" fontId="17" fillId="0" borderId="3" xfId="0" applyFont="1" applyBorder="1" applyAlignment="1">
      <alignment horizontal="left" vertical="top" wrapText="1"/>
    </xf>
    <xf numFmtId="0" fontId="17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17" fillId="0" borderId="2" xfId="0" applyFont="1" applyBorder="1" applyAlignment="1">
      <alignment horizontal="left" vertical="center" wrapText="1"/>
    </xf>
    <xf numFmtId="0" fontId="0" fillId="0" borderId="3" xfId="0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8" fillId="0" borderId="11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 shrinkToFit="1"/>
    </xf>
    <xf numFmtId="0" fontId="13" fillId="0" borderId="3" xfId="0" applyFont="1" applyBorder="1" applyAlignment="1">
      <alignment horizontal="left" vertical="center" wrapText="1" shrinkToFit="1"/>
    </xf>
    <xf numFmtId="0" fontId="19" fillId="0" borderId="1" xfId="0" applyFont="1" applyBorder="1" applyAlignment="1">
      <alignment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14" fontId="53" fillId="0" borderId="0" xfId="0" applyNumberFormat="1" applyFont="1" applyAlignment="1">
      <alignment horizontal="center" vertical="center" wrapText="1"/>
    </xf>
  </cellXfs>
  <cellStyles count="6">
    <cellStyle name="Hiperlink" xfId="2" builtinId="8"/>
    <cellStyle name="Moeda" xfId="1" builtinId="4"/>
    <cellStyle name="Normal" xfId="0" builtinId="0"/>
    <cellStyle name="Normal 2" xfId="3" xr:uid="{AC6E45FF-313E-4BEC-B292-11B834E507FF}"/>
    <cellStyle name="Normal 3" xfId="4" xr:uid="{F178139E-23EC-42B2-9F61-71AE2DD400A7}"/>
    <cellStyle name="WinCalendar_BlankCells_14" xfId="5" xr:uid="{04F9F399-0220-44FB-88A3-42A1E6006BA4}"/>
  </cellStyles>
  <dxfs count="285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0.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70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alignment horizontal="center"/>
    </dxf>
    <dxf>
      <alignment horizontal="center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general"/>
    </dxf>
    <dxf>
      <alignment horizontal="general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</dxfs>
  <tableStyles count="0" defaultTableStyle="TableStyleMedium2" defaultPivotStyle="PivotStyleLight16"/>
  <colors>
    <mruColors>
      <color rgb="FFF9677F"/>
      <color rgb="FFDBB7FF"/>
      <color rgb="FFFF5050"/>
      <color rgb="FF99CCFF"/>
      <color rgb="FFFF4F4F"/>
      <color rgb="FFFF4343"/>
      <color rgb="FF80F628"/>
      <color rgb="FFEEDDFF"/>
      <color rgb="FFF747D1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47625</xdr:rowOff>
        </xdr:from>
        <xdr:to>
          <xdr:col>0</xdr:col>
          <xdr:colOff>1485900</xdr:colOff>
          <xdr:row>27</xdr:row>
          <xdr:rowOff>47625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Salas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</xdr:row>
      <xdr:rowOff>11430</xdr:rowOff>
    </xdr:from>
    <xdr:ext cx="537455" cy="121700"/>
    <xdr:sp macro="" textlink="">
      <xdr:nvSpPr>
        <xdr:cNvPr id="2" name="WinCalLogo1">
          <a:extLst>
            <a:ext uri="{FF2B5EF4-FFF2-40B4-BE49-F238E27FC236}">
              <a16:creationId xmlns:a16="http://schemas.microsoft.com/office/drawing/2014/main" id="{66D0B124-A43F-4B4D-ABFE-A87F0E3CF24A}"/>
            </a:ext>
          </a:extLst>
        </xdr:cNvPr>
        <xdr:cNvSpPr>
          <a:spLocks noChangeArrowheads="1"/>
        </xdr:cNvSpPr>
      </xdr:nvSpPr>
      <xdr:spPr bwMode="auto">
        <a:xfrm>
          <a:off x="20002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</xdr:row>
      <xdr:rowOff>11430</xdr:rowOff>
    </xdr:from>
    <xdr:ext cx="537455" cy="121700"/>
    <xdr:sp macro="" textlink="">
      <xdr:nvSpPr>
        <xdr:cNvPr id="3" name="WinCalLogo1">
          <a:extLst>
            <a:ext uri="{FF2B5EF4-FFF2-40B4-BE49-F238E27FC236}">
              <a16:creationId xmlns:a16="http://schemas.microsoft.com/office/drawing/2014/main" id="{AF28BB9D-2CDB-45DB-8AF5-44EFFE1F4939}"/>
            </a:ext>
          </a:extLst>
        </xdr:cNvPr>
        <xdr:cNvSpPr>
          <a:spLocks noChangeArrowheads="1"/>
        </xdr:cNvSpPr>
      </xdr:nvSpPr>
      <xdr:spPr bwMode="auto">
        <a:xfrm>
          <a:off x="364807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10</xdr:row>
      <xdr:rowOff>11430</xdr:rowOff>
    </xdr:from>
    <xdr:ext cx="537455" cy="121700"/>
    <xdr:sp macro="" textlink="">
      <xdr:nvSpPr>
        <xdr:cNvPr id="4" name="WinCalLogo1">
          <a:extLst>
            <a:ext uri="{FF2B5EF4-FFF2-40B4-BE49-F238E27FC236}">
              <a16:creationId xmlns:a16="http://schemas.microsoft.com/office/drawing/2014/main" id="{38B378B8-AD5A-4B06-AF94-FBA5A447FC5D}"/>
            </a:ext>
          </a:extLst>
        </xdr:cNvPr>
        <xdr:cNvSpPr>
          <a:spLocks noChangeArrowheads="1"/>
        </xdr:cNvSpPr>
      </xdr:nvSpPr>
      <xdr:spPr bwMode="auto">
        <a:xfrm>
          <a:off x="20002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10</xdr:row>
      <xdr:rowOff>11430</xdr:rowOff>
    </xdr:from>
    <xdr:ext cx="537455" cy="121700"/>
    <xdr:sp macro="" textlink="">
      <xdr:nvSpPr>
        <xdr:cNvPr id="5" name="WinCalLogo1">
          <a:extLst>
            <a:ext uri="{FF2B5EF4-FFF2-40B4-BE49-F238E27FC236}">
              <a16:creationId xmlns:a16="http://schemas.microsoft.com/office/drawing/2014/main" id="{9DA72C49-C296-4ED9-9CA2-858914A6DBC0}"/>
            </a:ext>
          </a:extLst>
        </xdr:cNvPr>
        <xdr:cNvSpPr>
          <a:spLocks noChangeArrowheads="1"/>
        </xdr:cNvSpPr>
      </xdr:nvSpPr>
      <xdr:spPr bwMode="auto">
        <a:xfrm>
          <a:off x="364807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19</xdr:row>
      <xdr:rowOff>11430</xdr:rowOff>
    </xdr:from>
    <xdr:ext cx="537455" cy="121700"/>
    <xdr:sp macro="" textlink="">
      <xdr:nvSpPr>
        <xdr:cNvPr id="6" name="WinCalLogo1">
          <a:extLst>
            <a:ext uri="{FF2B5EF4-FFF2-40B4-BE49-F238E27FC236}">
              <a16:creationId xmlns:a16="http://schemas.microsoft.com/office/drawing/2014/main" id="{4A208868-516D-4805-B345-0980C959EACB}"/>
            </a:ext>
          </a:extLst>
        </xdr:cNvPr>
        <xdr:cNvSpPr>
          <a:spLocks noChangeArrowheads="1"/>
        </xdr:cNvSpPr>
      </xdr:nvSpPr>
      <xdr:spPr bwMode="auto">
        <a:xfrm>
          <a:off x="20002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19</xdr:row>
      <xdr:rowOff>11430</xdr:rowOff>
    </xdr:from>
    <xdr:ext cx="537455" cy="121700"/>
    <xdr:sp macro="" textlink="">
      <xdr:nvSpPr>
        <xdr:cNvPr id="7" name="WinCalLogo1">
          <a:extLst>
            <a:ext uri="{FF2B5EF4-FFF2-40B4-BE49-F238E27FC236}">
              <a16:creationId xmlns:a16="http://schemas.microsoft.com/office/drawing/2014/main" id="{AA75C9D6-9895-4548-82BB-2633DB8F46EF}"/>
            </a:ext>
          </a:extLst>
        </xdr:cNvPr>
        <xdr:cNvSpPr>
          <a:spLocks noChangeArrowheads="1"/>
        </xdr:cNvSpPr>
      </xdr:nvSpPr>
      <xdr:spPr bwMode="auto">
        <a:xfrm>
          <a:off x="364807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27</xdr:row>
      <xdr:rowOff>11430</xdr:rowOff>
    </xdr:from>
    <xdr:ext cx="537455" cy="121700"/>
    <xdr:sp macro="" textlink="">
      <xdr:nvSpPr>
        <xdr:cNvPr id="8" name="WinCalLogo1">
          <a:extLst>
            <a:ext uri="{FF2B5EF4-FFF2-40B4-BE49-F238E27FC236}">
              <a16:creationId xmlns:a16="http://schemas.microsoft.com/office/drawing/2014/main" id="{60E644E2-1492-4121-A844-83785B6E33F5}"/>
            </a:ext>
          </a:extLst>
        </xdr:cNvPr>
        <xdr:cNvSpPr>
          <a:spLocks noChangeArrowheads="1"/>
        </xdr:cNvSpPr>
      </xdr:nvSpPr>
      <xdr:spPr bwMode="auto">
        <a:xfrm>
          <a:off x="20002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27</xdr:row>
      <xdr:rowOff>11430</xdr:rowOff>
    </xdr:from>
    <xdr:ext cx="537455" cy="121700"/>
    <xdr:sp macro="" textlink="">
      <xdr:nvSpPr>
        <xdr:cNvPr id="9" name="WinCalLogo1">
          <a:extLst>
            <a:ext uri="{FF2B5EF4-FFF2-40B4-BE49-F238E27FC236}">
              <a16:creationId xmlns:a16="http://schemas.microsoft.com/office/drawing/2014/main" id="{818EE270-CA12-4D45-B726-E940DF33C1E8}"/>
            </a:ext>
          </a:extLst>
        </xdr:cNvPr>
        <xdr:cNvSpPr>
          <a:spLocks noChangeArrowheads="1"/>
        </xdr:cNvSpPr>
      </xdr:nvSpPr>
      <xdr:spPr bwMode="auto">
        <a:xfrm>
          <a:off x="364807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36</xdr:row>
      <xdr:rowOff>11430</xdr:rowOff>
    </xdr:from>
    <xdr:ext cx="537455" cy="121700"/>
    <xdr:sp macro="" textlink="">
      <xdr:nvSpPr>
        <xdr:cNvPr id="10" name="WinCalLogo1">
          <a:extLst>
            <a:ext uri="{FF2B5EF4-FFF2-40B4-BE49-F238E27FC236}">
              <a16:creationId xmlns:a16="http://schemas.microsoft.com/office/drawing/2014/main" id="{21D30D04-D1CB-4EF1-974A-FB8BB7A15707}"/>
            </a:ext>
          </a:extLst>
        </xdr:cNvPr>
        <xdr:cNvSpPr>
          <a:spLocks noChangeArrowheads="1"/>
        </xdr:cNvSpPr>
      </xdr:nvSpPr>
      <xdr:spPr bwMode="auto">
        <a:xfrm>
          <a:off x="20002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36</xdr:row>
      <xdr:rowOff>11430</xdr:rowOff>
    </xdr:from>
    <xdr:ext cx="537455" cy="121700"/>
    <xdr:sp macro="" textlink="">
      <xdr:nvSpPr>
        <xdr:cNvPr id="11" name="WinCalLogo1">
          <a:extLst>
            <a:ext uri="{FF2B5EF4-FFF2-40B4-BE49-F238E27FC236}">
              <a16:creationId xmlns:a16="http://schemas.microsoft.com/office/drawing/2014/main" id="{3920B12C-AD16-47B1-AB06-B933D8B41323}"/>
            </a:ext>
          </a:extLst>
        </xdr:cNvPr>
        <xdr:cNvSpPr>
          <a:spLocks noChangeArrowheads="1"/>
        </xdr:cNvSpPr>
      </xdr:nvSpPr>
      <xdr:spPr bwMode="auto">
        <a:xfrm>
          <a:off x="364807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44</xdr:row>
      <xdr:rowOff>11430</xdr:rowOff>
    </xdr:from>
    <xdr:ext cx="537455" cy="121700"/>
    <xdr:sp macro="" textlink="">
      <xdr:nvSpPr>
        <xdr:cNvPr id="12" name="WinCalLogo1">
          <a:extLst>
            <a:ext uri="{FF2B5EF4-FFF2-40B4-BE49-F238E27FC236}">
              <a16:creationId xmlns:a16="http://schemas.microsoft.com/office/drawing/2014/main" id="{57B8398B-220B-42FA-AF93-0DBF888A4DD4}"/>
            </a:ext>
          </a:extLst>
        </xdr:cNvPr>
        <xdr:cNvSpPr>
          <a:spLocks noChangeArrowheads="1"/>
        </xdr:cNvSpPr>
      </xdr:nvSpPr>
      <xdr:spPr bwMode="auto">
        <a:xfrm>
          <a:off x="20002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44</xdr:row>
      <xdr:rowOff>11430</xdr:rowOff>
    </xdr:from>
    <xdr:ext cx="537455" cy="121700"/>
    <xdr:sp macro="" textlink="">
      <xdr:nvSpPr>
        <xdr:cNvPr id="13" name="WinCalLogo1">
          <a:extLst>
            <a:ext uri="{FF2B5EF4-FFF2-40B4-BE49-F238E27FC236}">
              <a16:creationId xmlns:a16="http://schemas.microsoft.com/office/drawing/2014/main" id="{F47DDC57-A344-40C5-A1B6-BCF3A9DF3468}"/>
            </a:ext>
          </a:extLst>
        </xdr:cNvPr>
        <xdr:cNvSpPr>
          <a:spLocks noChangeArrowheads="1"/>
        </xdr:cNvSpPr>
      </xdr:nvSpPr>
      <xdr:spPr bwMode="auto">
        <a:xfrm>
          <a:off x="364807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47.452620023148" createdVersion="8" refreshedVersion="8" minRefreshableVersion="3" recordCount="77" xr:uid="{D3F52401-10EC-4059-9E48-94DA64A85146}">
  <cacheSource type="worksheet">
    <worksheetSource name="Planejamento2025"/>
  </cacheSource>
  <cacheFields count="36">
    <cacheField name="ID" numFmtId="0">
      <sharedItems/>
    </cacheField>
    <cacheField name="Curso" numFmtId="0">
      <sharedItems/>
    </cacheField>
    <cacheField name="Turma" numFmtId="1">
      <sharedItems/>
    </cacheField>
    <cacheField name="Período" numFmtId="1">
      <sharedItems/>
    </cacheField>
    <cacheField name="Área" numFmtId="0">
      <sharedItems containsBlank="1"/>
    </cacheField>
    <cacheField name="Nível" numFmtId="0">
      <sharedItems containsBlank="1"/>
    </cacheField>
    <cacheField name="Professor" numFmtId="0">
      <sharedItems/>
    </cacheField>
    <cacheField name="Carga Horária" numFmtId="164">
      <sharedItems containsSemiMixedTypes="0" containsNonDate="0" containsDate="1" containsString="0" minDate="1899-12-30T08:00:00" maxDate="1900-01-05T16:00:00"/>
    </cacheField>
    <cacheField name="Seg" numFmtId="164">
      <sharedItems containsBlank="1"/>
    </cacheField>
    <cacheField name="Ter" numFmtId="164">
      <sharedItems containsBlank="1"/>
    </cacheField>
    <cacheField name="Qua" numFmtId="164">
      <sharedItems containsBlank="1"/>
    </cacheField>
    <cacheField name="Qui" numFmtId="164">
      <sharedItems containsBlank="1"/>
    </cacheField>
    <cacheField name="Sex" numFmtId="164">
      <sharedItems containsBlank="1"/>
    </cacheField>
    <cacheField name="Padrão" numFmtId="164">
      <sharedItems/>
    </cacheField>
    <cacheField name="Entrada" numFmtId="164">
      <sharedItems containsSemiMixedTypes="0" containsNonDate="0" containsDate="1" containsString="0" minDate="1899-12-30T08:00:00" maxDate="1899-12-30T19:00:00"/>
    </cacheField>
    <cacheField name="Saída" numFmtId="164">
      <sharedItems containsSemiMixedTypes="0" containsNonDate="0" containsDate="1" containsString="0" minDate="1899-12-30T12:00:00" maxDate="1899-12-30T22:00:00"/>
    </cacheField>
    <cacheField name="Carga Horária / dia" numFmtId="164">
      <sharedItems containsSemiMixedTypes="0" containsNonDate="0" containsDate="1" containsString="0" minDate="1899-12-30T01:00:00" maxDate="1899-12-30T04:30:00"/>
    </cacheField>
    <cacheField name="Dias Letivos" numFmtId="170">
      <sharedItems containsSemiMixedTypes="0" containsString="0" containsNumber="1" minValue="2.6666666666666665" maxValue="53.333333333333336"/>
    </cacheField>
    <cacheField name="Início" numFmtId="165">
      <sharedItems containsSemiMixedTypes="0" containsNonDate="0" containsDate="1" containsString="0" minDate="2025-02-10T00:00:00" maxDate="2025-12-03T00:00:00" count="52">
        <d v="2025-02-10T00:00:00"/>
        <d v="2025-02-11T00:00:00"/>
        <d v="2025-02-12T00:00:00"/>
        <d v="2025-02-13T00:00:00"/>
        <d v="2025-02-18T00:00:00"/>
        <d v="2025-03-06T00:00:00"/>
        <d v="2025-03-07T00:00:00"/>
        <d v="2025-03-10T00:00:00"/>
        <d v="2025-03-11T00:00:00"/>
        <d v="2025-03-12T00:00:00"/>
        <d v="2025-03-13T00:00:00"/>
        <d v="2025-03-27T00:00:00"/>
        <d v="2025-04-01T00:00:00"/>
        <d v="2025-04-07T00:00:00"/>
        <d v="2025-04-10T00:00:00"/>
        <d v="2025-04-22T00:00:00"/>
        <d v="2025-04-25T00:00:00"/>
        <d v="2025-04-30T00:00:00"/>
        <d v="2025-05-06T00:00:00"/>
        <d v="2025-05-13T00:00:00"/>
        <d v="2025-05-19T00:00:00"/>
        <d v="2025-05-20T00:00:00"/>
        <d v="2025-06-03T00:00:00"/>
        <d v="2025-06-17T00:00:00"/>
        <d v="2025-07-17T00:00:00"/>
        <d v="2025-07-22T00:00:00"/>
        <d v="2025-07-23T00:00:00"/>
        <d v="2025-07-24T00:00:00"/>
        <d v="2025-07-28T00:00:00"/>
        <d v="2025-07-29T00:00:00"/>
        <d v="2025-07-30T00:00:00"/>
        <d v="2025-08-05T00:00:00"/>
        <d v="2025-08-06T00:00:00"/>
        <d v="2025-08-07T00:00:00"/>
        <d v="2025-08-20T00:00:00"/>
        <d v="2025-09-02T00:00:00"/>
        <d v="2025-09-09T00:00:00"/>
        <d v="2025-09-17T00:00:00"/>
        <d v="2025-09-30T00:00:00"/>
        <d v="2025-10-01T00:00:00"/>
        <d v="2025-10-07T00:00:00"/>
        <d v="2025-10-10T00:00:00"/>
        <d v="2025-10-14T00:00:00"/>
        <d v="2025-10-28T00:00:00"/>
        <d v="2025-10-30T00:00:00"/>
        <d v="2025-11-04T00:00:00"/>
        <d v="2025-11-25T00:00:00"/>
        <d v="2025-12-02T00:00:00"/>
        <d v="2025-10-21T00:00:00" u="1"/>
        <d v="2025-10-08T00:00:00" u="1"/>
        <d v="2025-10-31T00:00:00" u="1"/>
        <d v="2025-09-16T00:00:00" u="1"/>
      </sharedItems>
      <fieldGroup par="33"/>
    </cacheField>
    <cacheField name="Fim" numFmtId="165">
      <sharedItems containsSemiMixedTypes="0" containsNonDate="0" containsDate="1" containsString="0" minDate="2025-02-14T00:00:00" maxDate="2025-12-21T00:00:00" count="66">
        <d v="2025-02-14T00:00:00"/>
        <d v="2025-06-24T00:00:00"/>
        <d v="2025-06-25T00:00:00"/>
        <d v="2025-02-26T00:00:00"/>
        <d v="2025-05-06T00:00:00"/>
        <d v="2025-04-23T00:00:00"/>
        <d v="2025-05-14T00:00:00"/>
        <d v="2025-06-12T00:00:00"/>
        <d v="2025-06-26T00:00:00"/>
        <d v="2025-02-28T00:00:00"/>
        <d v="2025-07-31T00:00:00"/>
        <d v="2025-08-13T00:00:00"/>
        <d v="2025-03-18T00:00:00"/>
        <d v="2025-03-26T00:00:00"/>
        <d v="2025-05-28T00:00:00"/>
        <d v="2025-03-25T00:00:00"/>
        <d v="2025-04-15T00:00:00"/>
        <d v="2025-08-21T00:00:00"/>
        <d v="2025-09-05T00:00:00"/>
        <d v="2025-11-19T00:00:00"/>
        <d v="2025-08-06T00:00:00"/>
        <d v="2025-06-04T00:00:00"/>
        <d v="2025-06-05T00:00:00"/>
        <d v="2025-05-27T00:00:00"/>
        <d v="2025-10-30T00:00:00"/>
        <d v="2025-06-17T00:00:00"/>
        <d v="2025-11-18T00:00:00"/>
        <d v="2025-09-02T00:00:00"/>
        <d v="2025-12-09T00:00:00"/>
        <d v="2025-12-10T00:00:00"/>
        <d v="2025-12-11T00:00:00"/>
        <d v="2025-08-26T00:00:00"/>
        <d v="2025-09-17T00:00:00"/>
        <d v="2025-11-25T00:00:00"/>
        <d v="2025-11-05T00:00:00"/>
        <d v="2025-11-04T00:00:00"/>
        <d v="2025-08-20T00:00:00"/>
        <d v="2025-10-09T00:00:00"/>
        <d v="2025-11-26T00:00:00"/>
        <d v="2025-10-10T00:00:00"/>
        <d v="2025-10-23T00:00:00"/>
        <d v="2025-11-28T00:00:00"/>
        <d v="2025-10-14T00:00:00"/>
        <d v="2025-10-22T00:00:00"/>
        <d v="2025-10-28T00:00:00"/>
        <d v="2025-10-29T00:00:00"/>
        <d v="2025-12-04T00:00:00"/>
        <d v="2025-06-23T00:00:00" u="1"/>
        <d v="2025-08-14T00:00:00" u="1"/>
        <d v="2025-10-27T00:00:00" u="1"/>
        <d v="2025-09-23T00:00:00" u="1"/>
        <d v="2025-11-14T00:00:00" u="1"/>
        <d v="2025-08-28T00:00:00" u="1"/>
        <d v="2025-09-26T00:00:00" u="1"/>
        <d v="2025-08-05T00:00:00" u="1"/>
        <d v="2025-12-20T00:00:00" u="1"/>
        <d v="2025-08-27T00:00:00" u="1"/>
        <d v="2025-08-22T00:00:00" u="1"/>
        <d v="2025-06-10T00:00:00" u="1"/>
        <d v="2025-11-27T00:00:00" u="1"/>
        <d v="2025-12-17T00:00:00" u="1"/>
        <d v="2025-12-19T00:00:00" u="1"/>
        <d v="2025-12-16T00:00:00" u="1"/>
        <d v="2025-09-09T00:00:00" u="1"/>
        <d v="2025-10-08T00:00:00" u="1"/>
        <d v="2025-12-03T00:00:00" u="1"/>
      </sharedItems>
      <fieldGroup par="35"/>
    </cacheField>
    <cacheField name="Público" numFmtId="0">
      <sharedItems/>
    </cacheField>
    <cacheField name="Capac. Máx." numFmtId="0">
      <sharedItems containsString="0" containsBlank="1" containsNumber="1" containsInteger="1" minValue="14" maxValue="40"/>
    </cacheField>
    <cacheField name="Valor/ Hora" numFmtId="44">
      <sharedItems containsBlank="1" containsMixedTypes="1" containsNumber="1" minValue="0" maxValue="55"/>
    </cacheField>
    <cacheField name="Valor Previsto" numFmtId="44">
      <sharedItems containsMixedTypes="1" containsNumber="1" minValue="0" maxValue="12896.25"/>
    </cacheField>
    <cacheField name="Contribuição" numFmtId="44">
      <sharedItems containsString="0" containsBlank="1" containsNumber="1" containsInteger="1" minValue="0" maxValue="600"/>
    </cacheField>
    <cacheField name="Valor RH" numFmtId="44">
      <sharedItems containsString="0" containsBlank="1" containsNumber="1" minValue="0" maxValue="7552.5"/>
    </cacheField>
    <cacheField name="Valor Insumo" numFmtId="44">
      <sharedItems containsSemiMixedTypes="0" containsString="0" containsNumber="1" minValue="0" maxValue="767.87"/>
    </cacheField>
    <cacheField name="Status" numFmtId="44">
      <sharedItems/>
    </cacheField>
    <cacheField name="Fonte Pagadora" numFmtId="0">
      <sharedItems containsBlank="1" count="6">
        <s v="SENAI"/>
        <s v="Anna de Moura"/>
        <s v="SEBRAE"/>
        <s v="Prefeitura de Mogi"/>
        <s v="SEBRAE - SENAI" u="1"/>
        <m u="1"/>
      </sharedItems>
    </cacheField>
    <cacheField name="Certificação" numFmtId="0">
      <sharedItems containsBlank="1" count="6">
        <s v="SENAI"/>
        <s v="Anna de Moura"/>
        <s v="SEBRAE/SENAI"/>
        <s v="Prefeitura de Mogi"/>
        <s v="SEBRAE - SENAI" u="1"/>
        <m u="1"/>
      </sharedItems>
    </cacheField>
    <cacheField name="Tipo de Contrato" numFmtId="0">
      <sharedItems/>
    </cacheField>
    <cacheField name="Coluna1" numFmtId="0">
      <sharedItems containsBlank="1"/>
    </cacheField>
    <cacheField name="Dias (Início)" numFmtId="0" databaseField="0">
      <fieldGroup base="18">
        <rangePr groupBy="days" startDate="2025-02-10T00:00:00" endDate="2025-12-03T00:00:00"/>
        <groupItems count="368">
          <s v="&lt;10/02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3/12/2025"/>
        </groupItems>
      </fieldGroup>
    </cacheField>
    <cacheField name="Meses (Início)" numFmtId="0" databaseField="0">
      <fieldGroup base="18">
        <rangePr groupBy="months" startDate="2025-02-10T00:00:00" endDate="2025-12-03T00:00:00"/>
        <groupItems count="14">
          <s v="&lt;10/02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12/2025"/>
        </groupItems>
      </fieldGroup>
    </cacheField>
    <cacheField name="Dias (Fim)" numFmtId="0" databaseField="0">
      <fieldGroup base="19">
        <rangePr groupBy="days" startDate="2025-02-14T00:00:00" endDate="2025-12-12T00:00:00"/>
        <groupItems count="368">
          <s v="&lt;14/02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2/12/2025"/>
        </groupItems>
      </fieldGroup>
    </cacheField>
    <cacheField name="Meses (Fim)" numFmtId="0" databaseField="0">
      <fieldGroup base="19">
        <rangePr groupBy="months" startDate="2025-02-14T00:00:00" endDate="2025-12-12T00:00:00"/>
        <groupItems count="14">
          <s v="&lt;14/02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2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s v="PetFou_T1"/>
    <s v="Petit Four (Doce e Salgado)"/>
    <s v="T1"/>
    <s v="Manhã"/>
    <s v="Alimentos"/>
    <s v="Aperfeiçoamento Profissional Profissional"/>
    <s v="Patricia Turetti"/>
    <d v="1899-12-30T20:00:00"/>
    <s v="x"/>
    <s v="x"/>
    <s v="x"/>
    <s v="x"/>
    <s v="x"/>
    <s v="0000011"/>
    <d v="1899-12-30T08:00:00"/>
    <d v="1899-12-30T12:00:00"/>
    <d v="1899-12-30T04:00:00"/>
    <n v="5"/>
    <x v="0"/>
    <x v="0"/>
    <s v="(+) 18"/>
    <n v="16"/>
    <n v="0"/>
    <s v="R$ 0,00"/>
    <n v="0"/>
    <n v="0"/>
    <n v="0"/>
    <s v="Finalizado"/>
    <x v="0"/>
    <x v="0"/>
    <s v="Gratuidade"/>
    <m/>
  </r>
  <r>
    <s v="AuxAdm_T1"/>
    <s v="Auxiliar Administrativo"/>
    <s v="T1"/>
    <s v="Noite"/>
    <s v="Gestão"/>
    <s v="Qualificação Profissional Profissional"/>
    <s v="Ronaldo Moro"/>
    <d v="1900-01-05T16:00:00"/>
    <m/>
    <s v="x"/>
    <s v="x"/>
    <s v="x"/>
    <m/>
    <s v="1000111"/>
    <d v="1899-12-30T19:00:00"/>
    <d v="1899-12-30T22:00:00"/>
    <d v="1899-12-30T03:00:00"/>
    <n v="53.333333333333336"/>
    <x v="1"/>
    <x v="1"/>
    <s v="(+) 16"/>
    <n v="32"/>
    <n v="47.5"/>
    <n v="7600"/>
    <n v="0"/>
    <n v="7552.5"/>
    <n v="0"/>
    <s v="Finalizado"/>
    <x v="1"/>
    <x v="0"/>
    <s v="Convênio"/>
    <m/>
  </r>
  <r>
    <s v="LidGes_T1"/>
    <s v="Liderança Gestão Estratégica de Equipes"/>
    <s v="T1"/>
    <s v="Noite"/>
    <s v="Gestão"/>
    <s v="Aperfeiçoamento Profissional"/>
    <s v="Ana Flavia Eilliar Bianchini"/>
    <d v="1900-01-05T16:00:00"/>
    <m/>
    <s v="x"/>
    <s v="x"/>
    <s v="x"/>
    <m/>
    <s v="1000111"/>
    <d v="1899-12-30T19:00:00"/>
    <d v="1899-12-30T22:00:00"/>
    <d v="1899-12-30T03:00:00"/>
    <n v="53.333333333333336"/>
    <x v="1"/>
    <x v="2"/>
    <s v="(+) 18"/>
    <n v="32"/>
    <n v="47.5"/>
    <n v="7600"/>
    <n v="0"/>
    <n v="7552.5"/>
    <n v="0"/>
    <s v="Finalizado"/>
    <x v="1"/>
    <x v="0"/>
    <s v="Convênio"/>
    <m/>
  </r>
  <r>
    <s v="SorArt_T1"/>
    <s v="Sorvetes Artesanais"/>
    <s v="T1"/>
    <s v="Noite"/>
    <s v="Alimentos"/>
    <s v="Iniciação Profissional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1"/>
    <x v="3"/>
    <s v="(+) 18"/>
    <n v="18"/>
    <n v="47.5"/>
    <n v="855"/>
    <n v="540"/>
    <n v="855"/>
    <n v="244.77"/>
    <s v="Finalizado"/>
    <x v="1"/>
    <x v="1"/>
    <s v="Anna de Moura"/>
    <m/>
  </r>
  <r>
    <s v="PacOff_T1"/>
    <s v="Pacote Office"/>
    <s v="T1"/>
    <s v="Noite"/>
    <s v="Tecnologia da Informação"/>
    <s v="Aperfeiçoamento Profissional"/>
    <s v="Ronaldo Borba"/>
    <d v="1900-01-03T00:00:00"/>
    <m/>
    <s v="x"/>
    <s v="x"/>
    <s v="x"/>
    <m/>
    <s v="1000111"/>
    <d v="1899-12-30T19:00:00"/>
    <d v="1899-12-30T22:00:00"/>
    <d v="1899-12-30T03:00:00"/>
    <n v="32"/>
    <x v="1"/>
    <x v="4"/>
    <s v="(+) 18"/>
    <n v="16"/>
    <n v="47.5"/>
    <n v="4560"/>
    <n v="0"/>
    <n v="4560"/>
    <n v="0"/>
    <s v="Finalizado"/>
    <x v="1"/>
    <x v="0"/>
    <s v="Convênio"/>
    <m/>
  </r>
  <r>
    <s v="InfBás_T1"/>
    <s v="Informática Básica"/>
    <s v="T1"/>
    <s v="Noite"/>
    <s v="Tecnologia da Informação"/>
    <s v="Iniciação Profissional"/>
    <s v="Robson da Silva Gonçalves"/>
    <d v="1900-01-01T12:00:00"/>
    <m/>
    <s v="x"/>
    <s v="x"/>
    <m/>
    <m/>
    <s v="1001111"/>
    <d v="1899-12-30T19:00:00"/>
    <d v="1899-12-30T22:00:00"/>
    <d v="1899-12-30T03:00:00"/>
    <n v="20"/>
    <x v="1"/>
    <x v="5"/>
    <s v="(+) 18"/>
    <n v="14"/>
    <n v="47.5"/>
    <n v="2850"/>
    <n v="0"/>
    <n v="2850"/>
    <n v="0"/>
    <s v="Finalizado"/>
    <x v="1"/>
    <x v="0"/>
    <s v="Convênio"/>
    <m/>
  </r>
  <r>
    <s v="Ing _T1"/>
    <s v="Inglês"/>
    <s v="T1"/>
    <s v="Noite"/>
    <s v="Idiomas"/>
    <s v="Iniciação Profissional"/>
    <s v="Wanderly Francisca Nepomuceno"/>
    <d v="1900-01-02T08:00:00"/>
    <m/>
    <s v="x"/>
    <s v="x"/>
    <m/>
    <m/>
    <s v="1001111"/>
    <d v="1899-12-30T19:00:00"/>
    <d v="1899-12-30T22:00:00"/>
    <d v="1899-12-30T03:00:00"/>
    <n v="26.666666666666668"/>
    <x v="1"/>
    <x v="6"/>
    <s v="(+) 16"/>
    <n v="32"/>
    <n v="47.5"/>
    <n v="3800"/>
    <n v="0"/>
    <n v="3705"/>
    <n v="0"/>
    <s v="Finalizado"/>
    <x v="1"/>
    <x v="1"/>
    <s v="Anna de Moura"/>
    <m/>
  </r>
  <r>
    <s v="Gin _T1"/>
    <s v="Ginastica"/>
    <s v="T1"/>
    <s v="Tarde"/>
    <s v="Beleza e Saúde"/>
    <s v="Iniciação Profissional"/>
    <s v="Ingrid de Assis"/>
    <d v="1899-12-30T19:00:00"/>
    <m/>
    <m/>
    <s v="x"/>
    <m/>
    <m/>
    <s v="1101111"/>
    <d v="1899-12-30T17:00:00"/>
    <d v="1899-12-30T18:00:00"/>
    <d v="1899-12-30T01:00:00"/>
    <n v="19.000000000000014"/>
    <x v="2"/>
    <x v="2"/>
    <s v="(+) 18"/>
    <n v="30"/>
    <n v="55"/>
    <n v="1045"/>
    <m/>
    <n v="990"/>
    <n v="0"/>
    <s v="Finalizado"/>
    <x v="1"/>
    <x v="1"/>
    <s v="Anna de Moura"/>
    <m/>
  </r>
  <r>
    <s v="Tea _T1"/>
    <s v="Teatro"/>
    <s v="T1"/>
    <s v="Noite"/>
    <s v="Arte e Cultura"/>
    <s v="Iniciação Profissional"/>
    <s v="Karina Stolemberger"/>
    <d v="1899-12-31T16:00:00"/>
    <m/>
    <m/>
    <s v="x"/>
    <m/>
    <m/>
    <s v="1101111"/>
    <d v="1899-12-30T19:00:00"/>
    <d v="1899-12-30T21:00:00"/>
    <d v="1899-12-30T02:00:00"/>
    <n v="19.999999999999993"/>
    <x v="2"/>
    <x v="2"/>
    <s v="(+) 14"/>
    <n v="25"/>
    <n v="47.5"/>
    <n v="1900"/>
    <n v="0"/>
    <n v="1805"/>
    <n v="0"/>
    <s v="Finalizado"/>
    <x v="1"/>
    <x v="1"/>
    <s v="Anna de Moura"/>
    <m/>
  </r>
  <r>
    <s v="InfBás_T2"/>
    <s v="Informática Básica"/>
    <s v="T2"/>
    <s v="Tarde"/>
    <s v="Tecnologia da Informação"/>
    <s v="Iniciação Profissional"/>
    <s v="Eliane Aparecida dos Santos Lima"/>
    <d v="1899-12-31T16:00:00"/>
    <m/>
    <m/>
    <m/>
    <s v="x"/>
    <m/>
    <s v="1110111"/>
    <d v="1899-12-30T14:30:00"/>
    <d v="1899-12-30T17:00:00"/>
    <d v="1899-12-30T02:30:00"/>
    <n v="15.999999999999989"/>
    <x v="3"/>
    <x v="7"/>
    <s v="(+) 50"/>
    <n v="14"/>
    <n v="0"/>
    <n v="0"/>
    <n v="0"/>
    <n v="0"/>
    <n v="0"/>
    <s v="Finalizado"/>
    <x v="1"/>
    <x v="1"/>
    <s v="Anna de Moura"/>
    <m/>
  </r>
  <r>
    <s v="Fut _T1"/>
    <s v="Futsal"/>
    <s v="T1"/>
    <s v="Tarde"/>
    <s v="Esporte"/>
    <s v="Iniciação Profissional"/>
    <s v="Agatha Cristina dos Santos Marcondes"/>
    <d v="1899-12-31T10:00:00"/>
    <m/>
    <m/>
    <m/>
    <s v="x"/>
    <m/>
    <s v="1110111"/>
    <d v="1899-12-30T16:00:00"/>
    <d v="1899-12-30T18:00:00"/>
    <d v="1899-12-30T02:00:00"/>
    <n v="16.999999999999993"/>
    <x v="3"/>
    <x v="8"/>
    <s v="13-14"/>
    <n v="25"/>
    <n v="47.5"/>
    <n v="1615"/>
    <n v="0"/>
    <n v="1615"/>
    <n v="0"/>
    <s v="Finalizado"/>
    <x v="1"/>
    <x v="1"/>
    <s v="Anna de Moura"/>
    <m/>
  </r>
  <r>
    <s v="Fut _T2"/>
    <s v="Futsal"/>
    <s v="T2"/>
    <s v="Noite"/>
    <s v="Esporte"/>
    <s v="Iniciação Profissional"/>
    <s v="Agatha Cristina dos Santos Marcondes"/>
    <d v="1899-12-31T10:00:00"/>
    <m/>
    <m/>
    <m/>
    <s v="x"/>
    <m/>
    <s v="1110111"/>
    <d v="1899-12-30T19:00:00"/>
    <d v="1899-12-30T21:00:00"/>
    <d v="1899-12-30T02:00:00"/>
    <n v="16.999999999999993"/>
    <x v="3"/>
    <x v="8"/>
    <s v="15 - 16 -17"/>
    <n v="25"/>
    <n v="47.5"/>
    <n v="1615"/>
    <n v="0"/>
    <n v="1615"/>
    <n v="0"/>
    <s v="Finalizado"/>
    <x v="1"/>
    <x v="1"/>
    <s v="Anna de Moura"/>
    <m/>
  </r>
  <r>
    <s v="Man _T1"/>
    <s v="Manicure"/>
    <s v="T1"/>
    <s v="Tarde"/>
    <s v="Beleza e Saúde"/>
    <s v="Iniciação Profissional"/>
    <s v="Irene Stephani"/>
    <d v="1899-12-31T06:00:00"/>
    <m/>
    <s v="x"/>
    <m/>
    <m/>
    <m/>
    <s v="1011111"/>
    <d v="1899-12-30T14:00:00"/>
    <d v="1899-12-30T17:00:00"/>
    <d v="1899-12-30T03:00:00"/>
    <n v="10"/>
    <x v="4"/>
    <x v="4"/>
    <s v="(+) 18"/>
    <n v="20"/>
    <n v="47.5"/>
    <n v="1425"/>
    <n v="600"/>
    <n v="1520"/>
    <n v="0"/>
    <s v="Finalizado"/>
    <x v="1"/>
    <x v="1"/>
    <s v="Anna de Moura"/>
    <m/>
  </r>
  <r>
    <s v="Lid _T1"/>
    <s v="Liderança"/>
    <s v="T1"/>
    <s v="Tarde"/>
    <s v="Gestão"/>
    <s v="Aperfeiçoamento Profissional"/>
    <s v="Edilson Rosa"/>
    <d v="1899-12-31T00:00:00"/>
    <s v="x"/>
    <s v="x"/>
    <s v="x"/>
    <s v="x"/>
    <m/>
    <s v="0000111"/>
    <d v="1899-12-30T14:00:00"/>
    <d v="1899-12-30T17:00:00"/>
    <d v="1899-12-30T03:00:00"/>
    <n v="8"/>
    <x v="4"/>
    <x v="9"/>
    <s v="(+) 16"/>
    <n v="20"/>
    <n v="0"/>
    <s v="R$ 0,00"/>
    <n v="0"/>
    <n v="0"/>
    <n v="0"/>
    <s v="Finalizado"/>
    <x v="0"/>
    <x v="0"/>
    <s v="Gratuidade"/>
    <m/>
  </r>
  <r>
    <s v="EleIns_T1"/>
    <s v="Eletricista Instalador"/>
    <s v="T1"/>
    <s v="Tarde"/>
    <s v="Eletroeletrônica - Eletricidade"/>
    <s v="Qualificação Profissional"/>
    <s v="Edilson Rosa"/>
    <d v="1900-01-05T16:00:00"/>
    <m/>
    <s v="x"/>
    <m/>
    <s v="x"/>
    <m/>
    <s v="1010111"/>
    <d v="1899-12-30T13:00:00"/>
    <d v="1899-12-30T17:30:00"/>
    <d v="1899-12-30T04:30:00"/>
    <n v="35.555555555555557"/>
    <x v="5"/>
    <x v="10"/>
    <s v="(+18)"/>
    <n v="16"/>
    <s v="-"/>
    <s v="R$ 0,00"/>
    <n v="0"/>
    <n v="0"/>
    <n v="0"/>
    <s v="Em andamento"/>
    <x v="0"/>
    <x v="0"/>
    <s v="Gratuidade"/>
    <m/>
  </r>
  <r>
    <s v="Op_Micro_T1"/>
    <s v="Operador de Micro"/>
    <s v="T1"/>
    <s v="Tarde"/>
    <s v="Tecnologia da Informação"/>
    <s v="Qualificação Profissional"/>
    <s v="Cássio / Ismael"/>
    <d v="1900-01-05T16:00:00"/>
    <s v="x"/>
    <m/>
    <s v="x"/>
    <m/>
    <s v="x"/>
    <s v="0101011"/>
    <d v="1899-12-30T14:00:00"/>
    <d v="1899-12-30T17:00:00"/>
    <d v="1899-12-30T03:00:00"/>
    <n v="53.333333333333336"/>
    <x v="6"/>
    <x v="11"/>
    <s v="(+) 16"/>
    <n v="14"/>
    <s v="-"/>
    <s v="R$ 0,00"/>
    <n v="0"/>
    <n v="0"/>
    <n v="0"/>
    <s v="Em andamento"/>
    <x v="0"/>
    <x v="0"/>
    <s v="Gratuidade"/>
    <m/>
  </r>
  <r>
    <s v="Cup_Bolo_T1"/>
    <s v="Aprenda a Fabricar e Vender Cupcakes e Bolos Caseiros"/>
    <s v="T1"/>
    <s v="Tarde"/>
    <s v="Alimentos"/>
    <s v="Aperfeiçoamento Profissional"/>
    <s v="Patricia Turetti"/>
    <d v="1899-12-31T04:00:00"/>
    <s v="x"/>
    <s v="x"/>
    <s v="x"/>
    <s v="x"/>
    <s v="x"/>
    <s v="0000011"/>
    <d v="1899-12-30T13:30:00"/>
    <d v="1899-12-30T17:30:00"/>
    <d v="1899-12-30T04:00:00"/>
    <n v="7.0000000000000018"/>
    <x v="7"/>
    <x v="12"/>
    <s v="(+) 18"/>
    <n v="16"/>
    <s v="-"/>
    <s v="R$ 0,00"/>
    <n v="0"/>
    <n v="0"/>
    <n v="0"/>
    <s v="Finalizado"/>
    <x v="2"/>
    <x v="2"/>
    <s v="SEBRAE / SENAI"/>
    <m/>
  </r>
  <r>
    <s v="PãeEsp_T1"/>
    <s v="Pães Especiais"/>
    <s v="T1"/>
    <s v="Noite"/>
    <s v="Alimentos"/>
    <s v="Iniciaçã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8"/>
    <x v="13"/>
    <s v="(+) 18"/>
    <n v="18"/>
    <n v="47.5"/>
    <n v="855"/>
    <n v="510"/>
    <n v="855"/>
    <n v="515.84"/>
    <s v="Finalizado"/>
    <x v="1"/>
    <x v="1"/>
    <s v="Anna de Moura"/>
    <m/>
  </r>
  <r>
    <s v="PacOff_T2"/>
    <s v="Pacote Office"/>
    <s v="T2"/>
    <s v="Tarde"/>
    <s v="Tecnologia da Informação"/>
    <s v="Aperfeiçoamento Profissional"/>
    <s v="Ronaldo Borba"/>
    <d v="1900-01-03T00:00:00"/>
    <m/>
    <s v="x"/>
    <s v="x"/>
    <s v="x"/>
    <m/>
    <s v="1000111"/>
    <d v="1899-12-30T15:00:00"/>
    <d v="1899-12-30T18:00:00"/>
    <d v="1899-12-30T03:00:00"/>
    <n v="32"/>
    <x v="8"/>
    <x v="14"/>
    <s v="15 a 17"/>
    <n v="16"/>
    <n v="47.5"/>
    <n v="4560"/>
    <m/>
    <n v="4560"/>
    <n v="0"/>
    <s v="Finalizado"/>
    <x v="1"/>
    <x v="0"/>
    <s v="Convênio"/>
    <m/>
  </r>
  <r>
    <s v="Ban _T1"/>
    <s v="Banda"/>
    <s v="T1"/>
    <s v="Noite"/>
    <m/>
    <m/>
    <s v="Edmilton / Juliana / Rafael"/>
    <d v="1899-12-31T08:00:00"/>
    <m/>
    <s v="x"/>
    <m/>
    <m/>
    <m/>
    <s v="1011111"/>
    <d v="1899-12-30T19:00:00"/>
    <d v="1899-12-30T21:00:00"/>
    <d v="1899-12-30T02:00:00"/>
    <n v="15.999999999999993"/>
    <x v="8"/>
    <x v="1"/>
    <s v="Entre 14 e 18 anos"/>
    <n v="40"/>
    <m/>
    <n v="12896.25"/>
    <m/>
    <n v="7037.92"/>
    <n v="0"/>
    <s v="Finalizado"/>
    <x v="1"/>
    <x v="1"/>
    <s v="Anna de Moura"/>
    <m/>
  </r>
  <r>
    <s v="Ajust_Ref_T1"/>
    <s v="Aprenda a Ajustar e Reformar Roupas"/>
    <s v="T1"/>
    <s v="Manhã"/>
    <s v="Moda"/>
    <s v="Aperfeiçoamento Profissional"/>
    <s v="Ana Carolina Pereira Araujo"/>
    <d v="1899-12-31T12:00:00"/>
    <s v="x"/>
    <s v="x"/>
    <s v="x"/>
    <s v="x"/>
    <s v="x"/>
    <s v="0000011"/>
    <d v="1899-12-30T08:00:00"/>
    <d v="1899-12-30T12:00:00"/>
    <d v="1899-12-30T04:00:00"/>
    <n v="8.9999999999999982"/>
    <x v="9"/>
    <x v="15"/>
    <s v="(+) 18"/>
    <n v="16"/>
    <n v="47.5"/>
    <s v="R$ 0,00"/>
    <m/>
    <n v="0"/>
    <n v="0"/>
    <s v="Finalizado"/>
    <x v="2"/>
    <x v="2"/>
    <s v="SEBRAE / SENAI"/>
    <m/>
  </r>
  <r>
    <s v="Ing _T2"/>
    <s v="Inglês"/>
    <s v="T2"/>
    <s v="Tarde"/>
    <s v="Idiomas"/>
    <s v="Iniciação Profissional"/>
    <s v="Wanderly Francisca Nepomuceno"/>
    <d v="1899-12-31T13:00:00"/>
    <m/>
    <m/>
    <m/>
    <s v="x"/>
    <m/>
    <s v="1110111"/>
    <d v="1899-12-30T15:00:00"/>
    <d v="1899-12-30T18:00:00"/>
    <d v="1899-12-30T03:00:00"/>
    <n v="12.333333333333334"/>
    <x v="10"/>
    <x v="8"/>
    <s v="(+) 14"/>
    <n v="32"/>
    <n v="47.5"/>
    <n v="1757.5"/>
    <m/>
    <n v="1852.5"/>
    <n v="0"/>
    <s v="Finalizado"/>
    <x v="1"/>
    <x v="1"/>
    <s v="Anna de Moura"/>
    <m/>
  </r>
  <r>
    <s v="Cost_Maq_T1"/>
    <s v="Costureiro de Máquina Reta e Overloque"/>
    <s v="T1"/>
    <s v="Manhã"/>
    <s v="Moda"/>
    <s v="Qualificação Profissional"/>
    <s v="Ana Carolina Pereira Araujo"/>
    <d v="1900-01-05T16:00:00"/>
    <s v="x"/>
    <s v="x"/>
    <s v="x"/>
    <s v="x"/>
    <s v="x"/>
    <s v="0000011"/>
    <d v="1899-12-30T08:00:00"/>
    <d v="1899-12-30T12:00:00"/>
    <d v="1899-12-30T04:00:00"/>
    <n v="40"/>
    <x v="11"/>
    <x v="14"/>
    <s v="(+) 18"/>
    <n v="16"/>
    <n v="47.5"/>
    <s v="R$ 0,00"/>
    <m/>
    <n v="0"/>
    <n v="0"/>
    <s v="Finalizado"/>
    <x v="0"/>
    <x v="0"/>
    <s v="Gratuidade"/>
    <m/>
  </r>
  <r>
    <s v="Cost_Maq_T2"/>
    <s v="Costureiro de Máquina Reta e Overloque"/>
    <s v="T2"/>
    <s v="Tarde"/>
    <s v="Moda"/>
    <s v="Qualificação Profissional"/>
    <s v="Ana Carolina Pereira Araujo"/>
    <d v="1900-01-05T16:00:00"/>
    <s v="x"/>
    <s v="x"/>
    <s v="x"/>
    <s v="x"/>
    <s v="x"/>
    <s v="0000011"/>
    <d v="1899-12-30T13:00:00"/>
    <d v="1899-12-30T17:00:00"/>
    <d v="1899-12-30T04:00:00"/>
    <n v="39.999999999999986"/>
    <x v="11"/>
    <x v="14"/>
    <s v="(+) 18"/>
    <n v="16"/>
    <n v="47.5"/>
    <s v="R$ 0,00"/>
    <m/>
    <n v="0"/>
    <n v="0"/>
    <s v="Finalizado"/>
    <x v="0"/>
    <x v="0"/>
    <s v="Gratuidade"/>
    <m/>
  </r>
  <r>
    <s v="MasFol_T1"/>
    <s v="Massas Folhad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2"/>
    <x v="16"/>
    <s v="(+) 18"/>
    <n v="16"/>
    <n v="47.5"/>
    <n v="712.5"/>
    <n v="390"/>
    <n v="712.5"/>
    <n v="767.87"/>
    <s v="Finalizado"/>
    <x v="1"/>
    <x v="1"/>
    <s v="Anna de Moura"/>
    <m/>
  </r>
  <r>
    <s v="ExcBás_T1"/>
    <s v="Excel Básico"/>
    <s v="T1"/>
    <s v="Manhã"/>
    <s v="Tecnologia da Informação"/>
    <s v="Aperfeiçoamento Profissional"/>
    <s v="Cassio Portugal Melo"/>
    <d v="1899-12-31T16:00:00"/>
    <s v="x"/>
    <m/>
    <m/>
    <m/>
    <m/>
    <s v="0111111"/>
    <d v="1899-12-30T08:00:00"/>
    <d v="1899-12-30T12:00:00"/>
    <d v="1899-12-30T04:00:00"/>
    <n v="10"/>
    <x v="13"/>
    <x v="2"/>
    <s v="(+) 15"/>
    <n v="16"/>
    <m/>
    <s v="R$ 0,00"/>
    <m/>
    <n v="0"/>
    <n v="0"/>
    <s v="Finalizado"/>
    <x v="0"/>
    <x v="0"/>
    <s v="Gratuidade"/>
    <m/>
  </r>
  <r>
    <s v="PlaCon_T1"/>
    <s v="Planejamento Controle de Produção"/>
    <s v="T1"/>
    <s v="Tarde"/>
    <s v="Gestão"/>
    <s v="Aperfeiçoamento Profissional"/>
    <s v="Renato"/>
    <d v="1899-12-31T16:00:00"/>
    <m/>
    <m/>
    <m/>
    <s v="x"/>
    <m/>
    <s v="1110111"/>
    <d v="1899-12-30T14:00:00"/>
    <d v="1899-12-30T17:00:00"/>
    <d v="1899-12-30T03:00:00"/>
    <n v="13.333333333333334"/>
    <x v="14"/>
    <x v="17"/>
    <s v="(+) 16"/>
    <n v="16"/>
    <m/>
    <s v="R$ 0,00"/>
    <n v="0"/>
    <n v="0"/>
    <n v="0"/>
    <s v="Em andamento"/>
    <x v="0"/>
    <x v="0"/>
    <s v="Gratuidade"/>
    <m/>
  </r>
  <r>
    <s v="Caf _T1"/>
    <s v="Cafeteria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5"/>
    <x v="4"/>
    <s v="(+) 18"/>
    <n v="16"/>
    <n v="47.5"/>
    <n v="712.5"/>
    <n v="480"/>
    <n v="712.5"/>
    <n v="247.09"/>
    <s v="Finalizado"/>
    <x v="1"/>
    <x v="1"/>
    <s v="Anna de Moura"/>
    <m/>
  </r>
  <r>
    <s v="PacOff_T3"/>
    <s v="Pacote Office"/>
    <s v="T3"/>
    <s v="Tarde"/>
    <s v="Tecnologia da Informação"/>
    <s v="Aperfeiçoamento Profissional"/>
    <s v="Anderson / Marcelo"/>
    <d v="1900-01-03T00:00:00"/>
    <s v="x"/>
    <m/>
    <m/>
    <m/>
    <s v="x"/>
    <s v="0111011"/>
    <d v="1899-12-30T14:00:00"/>
    <d v="1899-12-30T17:00:00"/>
    <d v="1899-12-30T03:00:00"/>
    <n v="32"/>
    <x v="16"/>
    <x v="18"/>
    <s v="(+) 16"/>
    <n v="16"/>
    <m/>
    <s v="R$ 0,00"/>
    <m/>
    <n v="0"/>
    <n v="0"/>
    <s v="Em andamento"/>
    <x v="0"/>
    <x v="0"/>
    <s v="Gratuidade"/>
    <m/>
  </r>
  <r>
    <s v="AuxAdm_T2"/>
    <s v="Auxiliar Administrativo"/>
    <s v="T2"/>
    <s v="Tarde"/>
    <s v="Gestão"/>
    <s v="Qualificação Profissional"/>
    <s v="Cátia Silva"/>
    <d v="1900-01-05T16:00:00"/>
    <m/>
    <m/>
    <s v="x"/>
    <m/>
    <s v="x"/>
    <s v="1101011"/>
    <d v="1899-12-30T14:00:00"/>
    <d v="1899-12-30T17:00:00"/>
    <d v="1899-12-30T03:00:00"/>
    <n v="53.333333333333336"/>
    <x v="17"/>
    <x v="19"/>
    <s v="(+) 16"/>
    <n v="19"/>
    <s v="-"/>
    <s v="R$ 0,00"/>
    <m/>
    <n v="0"/>
    <n v="0"/>
    <s v="Em andamento"/>
    <x v="0"/>
    <x v="0"/>
    <s v="Gratuidade"/>
    <m/>
  </r>
  <r>
    <s v="EscLid_T1"/>
    <s v="Escola de Líderes"/>
    <s v="T1"/>
    <s v="Noite"/>
    <s v="Gestão"/>
    <s v="Iniciação Profissional"/>
    <s v="Crescer - Pref."/>
    <d v="1900-01-04T06:00:00"/>
    <m/>
    <s v="x"/>
    <s v="x"/>
    <s v="x"/>
    <m/>
    <s v="1000111"/>
    <d v="1899-12-30T18:00:00"/>
    <d v="1899-12-30T21:00:00"/>
    <d v="1899-12-30T03:00:00"/>
    <n v="42"/>
    <x v="18"/>
    <x v="20"/>
    <s v="15 a 24"/>
    <n v="25"/>
    <s v="-"/>
    <s v="R$ 0,00"/>
    <m/>
    <n v="0"/>
    <n v="0"/>
    <s v="Em andamento"/>
    <x v="3"/>
    <x v="3"/>
    <s v="Outros"/>
    <m/>
  </r>
  <r>
    <s v="Por _T1"/>
    <s v="Porteiro"/>
    <s v="T1"/>
    <s v="Noite"/>
    <s v="Gestão"/>
    <s v="Iniciação Profissional"/>
    <s v="Ronaldo Borba"/>
    <d v="1899-12-31T06:00:00"/>
    <m/>
    <s v="x"/>
    <m/>
    <s v="x"/>
    <m/>
    <s v="1010111"/>
    <d v="1899-12-30T19:00:00"/>
    <d v="1899-12-30T22:00:00"/>
    <d v="1899-12-30T03:00:00"/>
    <n v="10"/>
    <x v="19"/>
    <x v="7"/>
    <s v="(+) 18"/>
    <n v="20"/>
    <n v="47.5"/>
    <n v="1425"/>
    <m/>
    <n v="1425"/>
    <n v="0"/>
    <s v="Finalizado"/>
    <x v="1"/>
    <x v="1"/>
    <s v="Anna de Moura"/>
    <m/>
  </r>
  <r>
    <s v="MicPow_T1"/>
    <s v="Microsoft Power BI"/>
    <s v="T1"/>
    <s v="Noite"/>
    <s v="Tecnologia da Informação"/>
    <s v="Aperfeiçoamento Profissional"/>
    <s v="João Kleber Indena Martins"/>
    <d v="1899-12-31T08:00:00"/>
    <m/>
    <s v="x"/>
    <s v="x"/>
    <s v="x"/>
    <m/>
    <s v="1000111"/>
    <d v="1899-12-30T19:00:00"/>
    <d v="1899-12-30T22:00:00"/>
    <d v="1899-12-30T03:00:00"/>
    <n v="10.666666666666666"/>
    <x v="19"/>
    <x v="21"/>
    <s v="(+) 16"/>
    <n v="16"/>
    <n v="47.5"/>
    <n v="1520"/>
    <m/>
    <n v="1282.5"/>
    <n v="0"/>
    <s v="Finalizado"/>
    <x v="1"/>
    <x v="0"/>
    <s v="Convênio"/>
    <m/>
  </r>
  <r>
    <s v="Lid _T2"/>
    <s v="Liderança"/>
    <s v="T2"/>
    <s v="Noite"/>
    <s v="Gestão"/>
    <s v="Aperfeiçoamento Profissional"/>
    <s v="Edilson Rosa"/>
    <d v="1899-12-31T00:00:00"/>
    <m/>
    <s v="x"/>
    <m/>
    <s v="x"/>
    <m/>
    <s v="1010111"/>
    <d v="1899-12-30T19:00:00"/>
    <d v="1899-12-30T22:00:00"/>
    <d v="1899-12-30T03:00:00"/>
    <n v="8"/>
    <x v="19"/>
    <x v="22"/>
    <s v="(+) 16"/>
    <n v="20"/>
    <s v="-"/>
    <s v="R$ 0,00"/>
    <m/>
    <n v="0"/>
    <n v="0"/>
    <s v="Finalizado"/>
    <x v="0"/>
    <x v="0"/>
    <s v="Gratuidade"/>
    <m/>
  </r>
  <r>
    <s v="Piz _T1"/>
    <s v="Pizz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9"/>
    <x v="23"/>
    <s v="(+) 18"/>
    <n v="16"/>
    <n v="47.5"/>
    <n v="712.5"/>
    <n v="450"/>
    <n v="712.5"/>
    <n v="540.92000000000007"/>
    <s v="Finalizado"/>
    <x v="1"/>
    <x v="1"/>
    <s v="Anna de Moura"/>
    <m/>
  </r>
  <r>
    <s v="DesSob_T1"/>
    <s v="Design Sobrancelha"/>
    <s v="T1"/>
    <s v="Tarde"/>
    <s v="Beleza e Saúde"/>
    <s v="Iniciação Profissional"/>
    <s v="Irene Stephani"/>
    <d v="1899-12-30T20:00:00"/>
    <m/>
    <s v="x"/>
    <m/>
    <m/>
    <m/>
    <s v="1011111"/>
    <d v="1899-12-30T14:00:00"/>
    <d v="1899-12-30T17:00:00"/>
    <d v="1899-12-30T03:00:00"/>
    <n v="6.666666666666667"/>
    <x v="19"/>
    <x v="1"/>
    <s v="(+) 18"/>
    <n v="20"/>
    <n v="47.5"/>
    <n v="950"/>
    <n v="600"/>
    <n v="997.5"/>
    <n v="0"/>
    <s v="Finalizado"/>
    <x v="1"/>
    <x v="1"/>
    <s v="Anna de Moura"/>
    <m/>
  </r>
  <r>
    <s v="ComElé_T1"/>
    <s v="Comandos Elétricos"/>
    <s v="T1"/>
    <s v="Tarde"/>
    <s v="Eletroeletrônica - Eletricidade"/>
    <s v="Aperfeiçoamento Profissional"/>
    <s v="Ismael Alves de Faria"/>
    <d v="1900-01-04T00:00:00"/>
    <s v="x"/>
    <m/>
    <m/>
    <s v="x"/>
    <m/>
    <s v="0110111"/>
    <d v="1899-12-30T14:00:00"/>
    <d v="1899-12-30T17:00:00"/>
    <d v="1899-12-30T03:00:00"/>
    <n v="40"/>
    <x v="20"/>
    <x v="24"/>
    <s v="(+) 18"/>
    <n v="16"/>
    <n v="0"/>
    <s v="R$ 0,00"/>
    <m/>
    <n v="0"/>
    <n v="0"/>
    <s v="Em andamento"/>
    <x v="0"/>
    <x v="0"/>
    <s v="Gratuidade"/>
    <m/>
  </r>
  <r>
    <s v="FerQua_T1"/>
    <s v="Ferramentas Qualidade"/>
    <s v="T1"/>
    <s v="Tarde"/>
    <m/>
    <s v="Aperfeiçoamento Profissional"/>
    <s v="Sidney Nunes"/>
    <d v="1899-12-31T12:00:00"/>
    <m/>
    <s v="x"/>
    <s v="x"/>
    <m/>
    <m/>
    <s v="1001111"/>
    <d v="1899-12-30T13:30:00"/>
    <d v="1899-12-30T16:30:00"/>
    <d v="1899-12-30T03:00:00"/>
    <n v="12"/>
    <x v="21"/>
    <x v="2"/>
    <s v="(+) 16"/>
    <n v="16"/>
    <n v="0"/>
    <s v="R$ 0,00"/>
    <m/>
    <n v="0"/>
    <n v="0"/>
    <s v="Finalizado"/>
    <x v="0"/>
    <x v="0"/>
    <s v="Gratuidade"/>
    <m/>
  </r>
  <r>
    <s v="MasFre_T1"/>
    <s v="Massas Frescas e Molho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22"/>
    <x v="25"/>
    <s v="(+) 18"/>
    <n v="16"/>
    <n v="47.5"/>
    <n v="712.5"/>
    <m/>
    <n v="712.5"/>
    <n v="0"/>
    <s v="Finalizado"/>
    <x v="1"/>
    <x v="1"/>
    <s v="Anna de Moura"/>
    <m/>
  </r>
  <r>
    <s v="Opede _T1"/>
    <s v="Operador de Logistica"/>
    <s v="T1"/>
    <s v="Tarde"/>
    <s v="Lógistica e Transporte"/>
    <s v="Qualificação Profissional"/>
    <s v="José Elnir"/>
    <d v="1900-01-05T16:00:00"/>
    <m/>
    <s v="x"/>
    <m/>
    <s v="x"/>
    <m/>
    <s v="1010111"/>
    <d v="1899-12-30T13:00:00"/>
    <d v="1899-12-30T17:00:00"/>
    <d v="1899-12-30T04:00:00"/>
    <n v="39.999999999999986"/>
    <x v="23"/>
    <x v="26"/>
    <s v="(+) 16"/>
    <n v="16"/>
    <s v="-"/>
    <s v="R$ 0,00"/>
    <m/>
    <n v="0"/>
    <n v="0"/>
    <s v="Em andamento"/>
    <x v="0"/>
    <x v="0"/>
    <s v="Gratuidade"/>
    <m/>
  </r>
  <r>
    <s v="PlaCon_T2"/>
    <s v="Planejamento Controle de Produção"/>
    <s v="T2"/>
    <s v="Tarde"/>
    <s v="Lógistica e Transporte"/>
    <s v="Aperfeiçoamento Profissional"/>
    <s v="Adilson Pereira"/>
    <d v="1899-12-31T16:00:00"/>
    <m/>
    <s v="x"/>
    <m/>
    <s v="x"/>
    <m/>
    <s v="1010111"/>
    <d v="1899-12-30T14:00:00"/>
    <d v="1899-12-30T17:00:00"/>
    <d v="1899-12-30T03:00:00"/>
    <n v="13.333333333333334"/>
    <x v="24"/>
    <x v="27"/>
    <s v="(+) 16"/>
    <n v="16"/>
    <n v="0"/>
    <s v="R$ 0,00"/>
    <m/>
    <n v="0"/>
    <n v="0"/>
    <s v="Aguardando"/>
    <x v="0"/>
    <x v="0"/>
    <s v="Gratuidade"/>
    <m/>
  </r>
  <r>
    <s v="Ban _T1"/>
    <s v="Banda"/>
    <s v="T1"/>
    <s v="Noite"/>
    <m/>
    <m/>
    <s v="Edmilton / Juliana / Rafael"/>
    <d v="1900-01-01T04:00:00"/>
    <m/>
    <s v="x"/>
    <m/>
    <m/>
    <m/>
    <s v="1011111"/>
    <d v="1899-12-30T19:00:00"/>
    <d v="1899-12-30T21:30:00"/>
    <d v="1899-12-30T02:30:00"/>
    <n v="20.799999999999983"/>
    <x v="25"/>
    <x v="28"/>
    <s v="Entre 14 e 18 anos"/>
    <m/>
    <m/>
    <n v="12896.25"/>
    <m/>
    <m/>
    <n v="0"/>
    <s v="Aguardando"/>
    <x v="1"/>
    <x v="1"/>
    <s v="Anna de Moura"/>
    <m/>
  </r>
  <r>
    <s v="ExcAva_T1"/>
    <s v="Excel Avançado"/>
    <s v="T1"/>
    <s v="Noite"/>
    <s v="Tecnologia da Informação"/>
    <s v="Aperfeiçoamento Profissional"/>
    <s v="Daniel F. Junior"/>
    <d v="1899-12-31T16:00:00"/>
    <m/>
    <s v="x"/>
    <m/>
    <s v="x"/>
    <m/>
    <s v="1010111"/>
    <d v="1899-12-30T19:00:00"/>
    <d v="1899-12-30T22:00:00"/>
    <d v="1899-12-30T03:00:00"/>
    <n v="13.333333333333334"/>
    <x v="25"/>
    <x v="27"/>
    <s v="(+) 16"/>
    <n v="16"/>
    <m/>
    <s v="R$ 0,00"/>
    <m/>
    <n v="0"/>
    <n v="0"/>
    <s v="Aguardando"/>
    <x v="0"/>
    <x v="0"/>
    <s v="Gratuidade"/>
    <s v="As horas do dia 04/09 será diluida nas aulas."/>
  </r>
  <r>
    <s v="InfBás_T3"/>
    <s v="Informática Básica"/>
    <s v="T3"/>
    <s v="Noite"/>
    <s v="Tecnologia da Informação"/>
    <s v="Iniciação Profissional"/>
    <s v="Ronaldo Borba"/>
    <d v="1900-01-01T12:00:00"/>
    <m/>
    <m/>
    <s v="x"/>
    <m/>
    <m/>
    <s v="1101111"/>
    <d v="1899-12-30T19:00:00"/>
    <d v="1899-12-30T22:00:00"/>
    <d v="1899-12-30T03:00:00"/>
    <n v="20"/>
    <x v="26"/>
    <x v="29"/>
    <s v="(+) 18"/>
    <n v="16"/>
    <n v="47.5"/>
    <n v="2850"/>
    <m/>
    <n v="0"/>
    <n v="0"/>
    <s v="Aguardando"/>
    <x v="1"/>
    <x v="0"/>
    <s v="Convênio"/>
    <m/>
  </r>
  <r>
    <s v="Fut _T1"/>
    <s v="Futsal"/>
    <s v="T1"/>
    <s v="Tarde"/>
    <s v="Esporte"/>
    <s v="Iniciação Profissional"/>
    <s v="Agatha Cristina dos Santos Marcondes"/>
    <d v="1899-12-31T16:00:00"/>
    <m/>
    <m/>
    <m/>
    <s v="x"/>
    <m/>
    <s v="1110111"/>
    <d v="1899-12-30T16:00:00"/>
    <d v="1899-12-30T18:00:00"/>
    <d v="1899-12-30T02:00:00"/>
    <n v="19.999999999999993"/>
    <x v="27"/>
    <x v="30"/>
    <s v="13-14"/>
    <m/>
    <n v="47.5"/>
    <n v="1900"/>
    <n v="0"/>
    <m/>
    <n v="0"/>
    <s v="Aguardando"/>
    <x v="1"/>
    <x v="1"/>
    <s v="Anna de Moura"/>
    <m/>
  </r>
  <r>
    <s v="Fut _T2"/>
    <s v="Futsal"/>
    <s v="T2"/>
    <s v="Noite"/>
    <s v="Esporte"/>
    <s v="Iniciação Profissional"/>
    <s v="Agatha Cristina dos Santos Marcondes"/>
    <d v="1899-12-31T16:00:00"/>
    <m/>
    <m/>
    <m/>
    <s v="x"/>
    <m/>
    <s v="1110111"/>
    <d v="1899-12-30T19:00:00"/>
    <d v="1899-12-30T21:00:00"/>
    <d v="1899-12-30T02:00:00"/>
    <n v="19.999999999999993"/>
    <x v="27"/>
    <x v="30"/>
    <s v="15 - 16 -17"/>
    <m/>
    <n v="47.5"/>
    <n v="1900"/>
    <n v="0"/>
    <m/>
    <n v="0"/>
    <s v="Aguardando"/>
    <x v="1"/>
    <x v="1"/>
    <s v="Anna de Moura"/>
    <m/>
  </r>
  <r>
    <s v="CosPlanMa_T1"/>
    <s v="Tecnicas de Costura para Tecido Plano e Malha"/>
    <s v="T1"/>
    <s v="Manhã"/>
    <s v="Moda"/>
    <s v="Aperfeiçoamento Profissional"/>
    <s v="Ana Carolina Pereira Araujo"/>
    <d v="1900-01-02T16:00:00"/>
    <s v="x"/>
    <s v="x"/>
    <s v="x"/>
    <s v="x"/>
    <s v="x"/>
    <s v="0000011"/>
    <d v="1899-12-30T08:00:00"/>
    <d v="1899-12-30T12:00:00"/>
    <d v="1899-12-30T04:00:00"/>
    <n v="21.999999999999996"/>
    <x v="28"/>
    <x v="31"/>
    <s v="(+) 18"/>
    <n v="16"/>
    <s v="-"/>
    <s v="R$ 0,00"/>
    <m/>
    <n v="0"/>
    <n v="0"/>
    <s v="Aguardando"/>
    <x v="2"/>
    <x v="2"/>
    <s v="SEBRAE / SENAI"/>
    <m/>
  </r>
  <r>
    <s v="LeiInt_T1"/>
    <s v="Leitura Interpretação de Desenho Técnico Mecânico"/>
    <s v="T1"/>
    <s v="Noite"/>
    <m/>
    <s v="Aperfeiçoamento Profissional"/>
    <s v="Alison Silva"/>
    <d v="1900-01-01T12:00:00"/>
    <m/>
    <s v="x"/>
    <s v="x"/>
    <s v="x"/>
    <m/>
    <s v="1000111"/>
    <d v="1899-12-30T19:00:00"/>
    <d v="1899-12-30T22:00:00"/>
    <d v="1899-12-30T03:00:00"/>
    <n v="20"/>
    <x v="29"/>
    <x v="32"/>
    <s v="(+) 16"/>
    <n v="16"/>
    <m/>
    <s v="R$ 0,00"/>
    <m/>
    <n v="0"/>
    <n v="0"/>
    <s v="Aguardando"/>
    <x v="0"/>
    <x v="0"/>
    <s v="Gratuidade"/>
    <m/>
  </r>
  <r>
    <s v="ConsRef_T1"/>
    <s v="Costureiro de Conserto e Reforma de Roupas"/>
    <s v="T1"/>
    <s v="Tarde"/>
    <s v="Moda"/>
    <s v="Aperfeiçoamento Profissional"/>
    <s v="Ana Carolina Pereira Araujo"/>
    <d v="1900-01-02T08:00:00"/>
    <s v="x"/>
    <s v="x"/>
    <s v="x"/>
    <s v="x"/>
    <s v="x"/>
    <s v="0000011"/>
    <d v="1899-12-30T13:00:00"/>
    <d v="1899-12-30T17:00:00"/>
    <d v="1899-12-30T04:00:00"/>
    <n v="19.999999999999993"/>
    <x v="30"/>
    <x v="31"/>
    <s v="(+) 18"/>
    <n v="16"/>
    <m/>
    <s v="R$ 0,00"/>
    <m/>
    <n v="0"/>
    <n v="0"/>
    <s v="Aguardando"/>
    <x v="0"/>
    <x v="0"/>
    <s v="Gratuidade"/>
    <m/>
  </r>
  <r>
    <s v="PacOff_T4"/>
    <s v="Pacote Office"/>
    <s v="T4"/>
    <s v="Noite"/>
    <s v="Tecnologia da Informação"/>
    <s v="Aperfeiçoamento Profissional"/>
    <s v="Robson da Silva Gonçalves"/>
    <d v="1900-01-03T00:00:00"/>
    <m/>
    <s v="x"/>
    <s v="x"/>
    <m/>
    <m/>
    <s v="1001111"/>
    <d v="1899-12-30T19:00:00"/>
    <d v="1899-12-30T22:00:00"/>
    <d v="1899-12-30T03:00:00"/>
    <n v="32"/>
    <x v="31"/>
    <x v="33"/>
    <s v="(+18)"/>
    <n v="14"/>
    <n v="47.5"/>
    <n v="4560"/>
    <m/>
    <n v="0"/>
    <n v="0"/>
    <s v="Aguardando"/>
    <x v="1"/>
    <x v="0"/>
    <s v="Convênio"/>
    <m/>
  </r>
  <r>
    <s v="DesCap_T1"/>
    <s v="Desenvolvimento Capacidades Socioemocionais"/>
    <s v="T1"/>
    <s v="Noite"/>
    <s v="Gestão"/>
    <s v="Aperfeiçoamento Profissional"/>
    <s v="Ana Flavia Eilliar Bianchini"/>
    <d v="1900-01-02T08:00:00"/>
    <m/>
    <s v="x"/>
    <s v="x"/>
    <m/>
    <m/>
    <s v="1001111"/>
    <d v="1899-12-30T19:00:00"/>
    <d v="1899-12-30T22:00:00"/>
    <d v="1899-12-30T03:00:00"/>
    <n v="26.666666666666668"/>
    <x v="31"/>
    <x v="34"/>
    <s v="(+18)"/>
    <n v="25"/>
    <n v="47.5"/>
    <n v="3800"/>
    <m/>
    <n v="0"/>
    <n v="0"/>
    <s v="Aguardando"/>
    <x v="1"/>
    <x v="0"/>
    <s v="Convênio"/>
    <m/>
  </r>
  <r>
    <s v="Maq _T1"/>
    <s v="Maquiagem"/>
    <s v="T1"/>
    <s v="Tarde"/>
    <s v="Beleza e Saúde"/>
    <s v="Iniciação Profissional"/>
    <s v="Irene Stephani"/>
    <d v="1899-12-31T16:00:00"/>
    <m/>
    <s v="x"/>
    <m/>
    <m/>
    <m/>
    <s v="1011111"/>
    <d v="1899-12-30T14:00:00"/>
    <d v="1899-12-30T17:00:00"/>
    <d v="1899-12-30T03:00:00"/>
    <n v="13.333333333333334"/>
    <x v="31"/>
    <x v="35"/>
    <s v="(+) 18"/>
    <n v="20"/>
    <n v="47.5"/>
    <n v="1900"/>
    <m/>
    <n v="0"/>
    <n v="0"/>
    <s v="Aguardando"/>
    <x v="1"/>
    <x v="1"/>
    <s v="Anna de Moura"/>
    <m/>
  </r>
  <r>
    <s v="Bolno _T1"/>
    <s v="Bolo no Pote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1"/>
    <x v="36"/>
    <s v="(+) 18"/>
    <n v="16"/>
    <n v="47.5"/>
    <n v="855"/>
    <m/>
    <n v="0"/>
    <n v="0"/>
    <s v="Aguardando"/>
    <x v="1"/>
    <x v="1"/>
    <s v="Anna de Moura"/>
    <m/>
  </r>
  <r>
    <s v="ComElé_T2"/>
    <s v="Comandos Elétricos"/>
    <s v="T2"/>
    <s v="Tarde"/>
    <s v="Eletroeletrônica - Eletricidade"/>
    <s v="Aperfeiçoamento Profissional"/>
    <s v="Diego Tertulino"/>
    <d v="1900-01-04T00:00:00"/>
    <m/>
    <s v="x"/>
    <m/>
    <s v="x"/>
    <m/>
    <s v="1010111"/>
    <d v="1899-12-30T13:00:00"/>
    <d v="1899-12-30T17:30:00"/>
    <d v="1899-12-30T04:30:00"/>
    <n v="26.666666666666668"/>
    <x v="31"/>
    <x v="24"/>
    <s v="(+) 18"/>
    <n v="16"/>
    <m/>
    <s v="R$ 0,00"/>
    <m/>
    <n v="0"/>
    <n v="0"/>
    <s v="Aguardando"/>
    <x v="0"/>
    <x v="0"/>
    <s v="Gratuidade"/>
    <m/>
  </r>
  <r>
    <s v="InfBás_T4"/>
    <s v="Informática Básica"/>
    <s v="T4"/>
    <s v="Tarde"/>
    <s v="Tecnologia da Informação"/>
    <s v="Iniciação Profissional"/>
    <s v="Ronaldo Borba"/>
    <d v="1900-01-01T12:00:00"/>
    <m/>
    <s v="x"/>
    <m/>
    <s v="x"/>
    <m/>
    <s v="1010111"/>
    <d v="1899-12-30T15:00:00"/>
    <d v="1899-12-30T18:00:00"/>
    <d v="1899-12-30T03:00:00"/>
    <n v="20"/>
    <x v="31"/>
    <x v="37"/>
    <s v="(+) 14"/>
    <n v="16"/>
    <n v="47.5"/>
    <n v="2850"/>
    <m/>
    <n v="0"/>
    <n v="0"/>
    <s v="Aguardando"/>
    <x v="1"/>
    <x v="0"/>
    <s v="Convênio"/>
    <m/>
  </r>
  <r>
    <s v="Excno _T1"/>
    <s v="Excelência no Atendimento"/>
    <s v="T1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31"/>
    <x v="31"/>
    <s v="(+) 16"/>
    <n v="20"/>
    <n v="47.5"/>
    <n v="950"/>
    <m/>
    <n v="0"/>
    <n v="0"/>
    <s v="Aguardando"/>
    <x v="1"/>
    <x v="0"/>
    <s v="Convênio"/>
    <m/>
  </r>
  <r>
    <s v="RotAdm_T1"/>
    <s v="Rotinas Administrativas"/>
    <s v="T1"/>
    <s v="Noite"/>
    <s v="Gestão"/>
    <s v="Aperfeiçoamento Profissional"/>
    <s v="Fabiane"/>
    <d v="1900-01-03T04:00:00"/>
    <m/>
    <m/>
    <s v="x"/>
    <s v="x"/>
    <m/>
    <s v="1100111"/>
    <d v="1899-12-30T19:00:00"/>
    <d v="1899-12-30T22:00:00"/>
    <d v="1899-12-30T03:00:00"/>
    <n v="33.333333333333336"/>
    <x v="32"/>
    <x v="38"/>
    <s v="(+) 18"/>
    <n v="20"/>
    <n v="47.5"/>
    <n v="4750"/>
    <m/>
    <n v="0"/>
    <n v="0"/>
    <s v="Aguardando"/>
    <x v="1"/>
    <x v="0"/>
    <s v="Convênio"/>
    <m/>
  </r>
  <r>
    <s v="Gin _T1"/>
    <s v="Ginastica"/>
    <s v="T1"/>
    <s v="Tarde"/>
    <s v="Beleza e Saúde"/>
    <s v="Iniciação Profissional"/>
    <s v="Ingrid de Assis"/>
    <d v="1899-12-30T15:00:00"/>
    <m/>
    <m/>
    <s v="x"/>
    <m/>
    <m/>
    <s v="1101111"/>
    <d v="1899-12-30T17:00:00"/>
    <d v="1899-12-30T18:00:00"/>
    <d v="1899-12-30T01:00:00"/>
    <n v="15.000000000000014"/>
    <x v="32"/>
    <x v="38"/>
    <s v="(+) 18"/>
    <m/>
    <n v="55"/>
    <n v="825"/>
    <m/>
    <m/>
    <n v="0"/>
    <s v="Aguardando"/>
    <x v="1"/>
    <x v="1"/>
    <s v="Anna de Moura"/>
    <m/>
  </r>
  <r>
    <s v="Tea _T1"/>
    <s v="Teatro"/>
    <s v="T1"/>
    <s v="Noite"/>
    <s v="Arte e Cultura"/>
    <s v="Iniciação Profissional"/>
    <s v="Karina Stolemberger"/>
    <d v="1899-12-31T20:00:00"/>
    <m/>
    <m/>
    <s v="x"/>
    <m/>
    <m/>
    <s v="1101111"/>
    <d v="1899-12-30T19:00:00"/>
    <d v="1899-12-30T21:30:00"/>
    <d v="1899-12-30T02:30:00"/>
    <n v="17.599999999999987"/>
    <x v="32"/>
    <x v="29"/>
    <s v="(+) 14"/>
    <m/>
    <n v="47.5"/>
    <n v="2090"/>
    <n v="0"/>
    <m/>
    <n v="0"/>
    <s v="Aguardando"/>
    <x v="1"/>
    <x v="1"/>
    <s v="Anna de Moura"/>
    <m/>
  </r>
  <r>
    <s v="Monde _T1"/>
    <s v="Montagem de Painéis Elétricos"/>
    <s v="T1"/>
    <s v="Tarde"/>
    <s v="Eletroeletrônica - Eletricidade"/>
    <s v="Aperfeiçoamento Profissional"/>
    <s v="Diego Tertulino"/>
    <d v="1900-01-02T08:00:00"/>
    <m/>
    <m/>
    <s v="x"/>
    <m/>
    <s v="x"/>
    <s v="1101011"/>
    <d v="1899-12-30T13:00:00"/>
    <d v="1899-12-30T17:00:00"/>
    <d v="1899-12-30T04:00:00"/>
    <n v="19.999999999999993"/>
    <x v="32"/>
    <x v="39"/>
    <s v="(+) 18"/>
    <n v="16"/>
    <m/>
    <s v="R$ 0,00"/>
    <m/>
    <n v="0"/>
    <n v="0"/>
    <s v="Aguardando"/>
    <x v="0"/>
    <x v="0"/>
    <s v="Gratuidade"/>
    <m/>
  </r>
  <r>
    <s v="EleIns_T2"/>
    <s v="Eletricista Instalador"/>
    <s v="T2"/>
    <s v="Noite"/>
    <s v="Eletroeletrônica - Eletricidade"/>
    <s v="Qualificação Profissional"/>
    <s v="Diego Tertulino"/>
    <d v="1900-01-05T16:00:00"/>
    <m/>
    <s v="x"/>
    <s v="x"/>
    <s v="x"/>
    <m/>
    <s v="1000111"/>
    <d v="1899-12-30T18:30:00"/>
    <d v="1899-12-30T22:00:00"/>
    <d v="1899-12-30T03:30:00"/>
    <n v="45.714285714285737"/>
    <x v="32"/>
    <x v="24"/>
    <s v="(+) 18"/>
    <n v="16"/>
    <m/>
    <s v="R$ 0,00"/>
    <m/>
    <n v="0"/>
    <n v="0"/>
    <s v="Aguardando"/>
    <x v="0"/>
    <x v="0"/>
    <s v="Gratuidade"/>
    <s v="As horas entre o dia 04 e 25 de novembro será diluida nas aulas."/>
  </r>
  <r>
    <s v="Ing _T3"/>
    <s v="Inglês"/>
    <s v="T3"/>
    <s v="Tarde"/>
    <s v="Idiomas"/>
    <s v="Iniciação Profissional"/>
    <s v="Wanderly Francisca Nepomuceno"/>
    <d v="1899-12-31T12:00:00"/>
    <m/>
    <m/>
    <m/>
    <s v="x"/>
    <m/>
    <s v="1110111"/>
    <d v="1899-12-30T14:00:00"/>
    <d v="1899-12-30T17:00:00"/>
    <d v="1899-12-30T03:00:00"/>
    <n v="12"/>
    <x v="33"/>
    <x v="40"/>
    <s v="14 a 18 ANOS"/>
    <n v="32"/>
    <n v="47.5"/>
    <n v="1710"/>
    <m/>
    <n v="0"/>
    <n v="0"/>
    <s v="Aguardando"/>
    <x v="1"/>
    <x v="1"/>
    <s v="Anna de Moura"/>
    <m/>
  </r>
  <r>
    <s v="PacOff_T5"/>
    <s v="Pacote Office"/>
    <s v="T5"/>
    <s v="Tarde"/>
    <s v="Tecnologia da Informação"/>
    <s v="Aperfeiçoamento Profissional"/>
    <s v="Ciro Mendes"/>
    <d v="1900-01-03T00:00:00"/>
    <m/>
    <m/>
    <s v="x"/>
    <m/>
    <s v="x"/>
    <s v="1101011"/>
    <d v="1899-12-30T13:00:00"/>
    <d v="1899-12-30T17:00:00"/>
    <d v="1899-12-30T04:00:00"/>
    <n v="23.999999999999989"/>
    <x v="34"/>
    <x v="41"/>
    <s v="(+14)"/>
    <n v="14"/>
    <n v="0"/>
    <s v="R$ 0,00"/>
    <m/>
    <n v="0"/>
    <n v="0"/>
    <s v="Aguardando"/>
    <x v="0"/>
    <x v="0"/>
    <s v="Gratuidade"/>
    <m/>
  </r>
  <r>
    <s v="SalFri_T1"/>
    <s v="Salgados Frito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5"/>
    <x v="32"/>
    <s v="(+18)"/>
    <n v="16"/>
    <n v="47.5"/>
    <n v="855"/>
    <m/>
    <n v="0"/>
    <n v="0"/>
    <s v="Aguardando"/>
    <x v="1"/>
    <x v="1"/>
    <s v="Anna de Moura"/>
    <m/>
  </r>
  <r>
    <s v="PowBI_T2"/>
    <s v="Power BI"/>
    <s v="T2"/>
    <s v="Noite"/>
    <s v="Tecnologia da Informação"/>
    <s v="Aperfeiçoamento Profissional"/>
    <s v="Daniel F. Junior"/>
    <d v="1899-12-31T08:00:00"/>
    <m/>
    <s v="x"/>
    <m/>
    <s v="x"/>
    <m/>
    <s v="1010111"/>
    <d v="1899-12-30T19:00:00"/>
    <d v="1899-12-30T22:00:00"/>
    <d v="1899-12-30T03:00:00"/>
    <n v="10.666666666666666"/>
    <x v="36"/>
    <x v="42"/>
    <s v="(+) 16"/>
    <n v="16"/>
    <m/>
    <s v="R$ 0,00"/>
    <m/>
    <n v="0"/>
    <n v="0"/>
    <s v="Aguardando"/>
    <x v="0"/>
    <x v="0"/>
    <s v="Gratuidade"/>
    <m/>
  </r>
  <r>
    <s v="Elade _T1"/>
    <s v="Elaboração de Laudos Para Instalações Elétricas"/>
    <s v="T1"/>
    <s v="Noite"/>
    <s v="Eletroeletrônica - Eletricidade"/>
    <s v="Aperfeiçoamento Profissional"/>
    <s v="Ilso Cruz"/>
    <d v="1899-12-31T00:00:00"/>
    <m/>
    <m/>
    <s v="x"/>
    <m/>
    <m/>
    <s v="1101111"/>
    <d v="1899-12-30T19:00:00"/>
    <d v="1899-12-30T22:00:00"/>
    <d v="1899-12-30T03:00:00"/>
    <n v="8"/>
    <x v="37"/>
    <x v="34"/>
    <s v="(+) 18"/>
    <n v="16"/>
    <m/>
    <s v="R$ 0,00"/>
    <m/>
    <n v="0"/>
    <n v="0"/>
    <s v="Aguardando"/>
    <x v="0"/>
    <x v="0"/>
    <s v="Gratuidade"/>
    <m/>
  </r>
  <r>
    <s v="Kai _T1"/>
    <s v="Kaizen"/>
    <s v="T1"/>
    <s v="Tarde"/>
    <s v="Gestão"/>
    <s v="Aperfeiçoamento Profissional"/>
    <s v="Ciro Mendes"/>
    <d v="1899-12-30T16:00:00"/>
    <m/>
    <s v="x"/>
    <m/>
    <s v="x"/>
    <m/>
    <s v="1010111"/>
    <d v="1899-12-30T13:00:00"/>
    <d v="1899-12-30T17:00:00"/>
    <d v="1899-12-30T04:00:00"/>
    <n v="3.9999999999999982"/>
    <x v="38"/>
    <x v="37"/>
    <s v="(+) 16"/>
    <n v="16"/>
    <m/>
    <s v="R$ 0,00"/>
    <m/>
    <n v="0"/>
    <n v="0"/>
    <s v="Aguardando"/>
    <x v="0"/>
    <x v="0"/>
    <s v="Gratuidade"/>
    <m/>
  </r>
  <r>
    <s v="Piz _T2"/>
    <s v="Pizza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9"/>
    <x v="43"/>
    <s v="(+) 18"/>
    <n v="16"/>
    <n v="47.5"/>
    <n v="855"/>
    <m/>
    <n v="0"/>
    <n v="0"/>
    <s v="Aguardando"/>
    <x v="1"/>
    <x v="1"/>
    <s v="Anna de Moura"/>
    <m/>
  </r>
  <r>
    <s v="Excno _T2"/>
    <s v="Excelência no Atendimento"/>
    <s v="T2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40"/>
    <x v="44"/>
    <s v="(+) 16"/>
    <n v="20"/>
    <n v="47.5"/>
    <n v="950"/>
    <m/>
    <n v="0"/>
    <n v="0"/>
    <s v="Aguardando"/>
    <x v="1"/>
    <x v="0"/>
    <s v="Convênio"/>
    <m/>
  </r>
  <r>
    <s v="Lid _T3"/>
    <s v="Liderança"/>
    <s v="T3"/>
    <s v="Tarde"/>
    <m/>
    <s v="Aperfeiçoamento Profissional"/>
    <s v="José Elnir"/>
    <d v="1899-12-31T00:00:00"/>
    <m/>
    <m/>
    <s v="x"/>
    <m/>
    <s v="x"/>
    <s v="1101011"/>
    <d v="1899-12-30T13:00:00"/>
    <d v="1899-12-30T17:00:00"/>
    <d v="1899-12-30T04:00:00"/>
    <n v="5.9999999999999973"/>
    <x v="41"/>
    <x v="45"/>
    <s v="(+) 16"/>
    <n v="20"/>
    <m/>
    <s v="R$ 0,00"/>
    <m/>
    <n v="0"/>
    <n v="0"/>
    <s v="Aguardando"/>
    <x v="0"/>
    <x v="0"/>
    <s v="Gratuidade"/>
    <m/>
  </r>
  <r>
    <s v="AnáTer_T1"/>
    <s v="Análise Termográfica"/>
    <s v="T1"/>
    <s v="Noite"/>
    <s v="Eletroeletrônica - Eletricidade"/>
    <s v="Aperfeiçoamento Profissional"/>
    <s v="Jorge Guimarães"/>
    <d v="1899-12-30T16:00:00"/>
    <m/>
    <s v="x"/>
    <s v="x"/>
    <s v="x"/>
    <m/>
    <s v="1000111"/>
    <d v="1899-12-30T18:45:00"/>
    <d v="1899-12-30T22:00:00"/>
    <d v="1899-12-30T03:15:00"/>
    <n v="4.9230769230769242"/>
    <x v="42"/>
    <x v="40"/>
    <s v="(+) 18"/>
    <n v="16"/>
    <m/>
    <s v="R$ 0,00"/>
    <m/>
    <n v="0"/>
    <n v="0"/>
    <s v="Aguardando"/>
    <x v="0"/>
    <x v="0"/>
    <s v="Gratuidade"/>
    <m/>
  </r>
  <r>
    <s v="PrevInc_T1"/>
    <s v="Prevenção a Incêndio"/>
    <s v="T1"/>
    <s v="Noite"/>
    <m/>
    <s v="Aperfeiçoamento Profissional"/>
    <s v="Jorge Guimarães"/>
    <d v="1899-12-30T08:00:00"/>
    <m/>
    <s v="x"/>
    <s v="x"/>
    <s v="x"/>
    <m/>
    <s v="1000111"/>
    <d v="1899-12-30T19:00:00"/>
    <d v="1899-12-30T22:00:00"/>
    <d v="1899-12-30T03:00:00"/>
    <n v="2.6666666666666665"/>
    <x v="43"/>
    <x v="24"/>
    <s v="(+) 18"/>
    <n v="16"/>
    <m/>
    <s v="R$ 0,00"/>
    <m/>
    <n v="0"/>
    <n v="0"/>
    <s v="Aguardando"/>
    <x v="0"/>
    <x v="0"/>
    <s v="Gratuidade"/>
    <m/>
  </r>
  <r>
    <s v="IngAva_T1"/>
    <s v="Inglês Avançado"/>
    <s v="T1"/>
    <s v="Tarde"/>
    <s v="Idiomas"/>
    <s v="Aperfeiçoamento Profissional"/>
    <s v="Wanderly Francisca Nepomuceno"/>
    <d v="1899-12-30T15:00:00"/>
    <m/>
    <m/>
    <m/>
    <s v="x"/>
    <m/>
    <s v="1110111"/>
    <d v="1899-12-30T14:00:00"/>
    <d v="1899-12-30T17:00:00"/>
    <d v="1899-12-30T03:00:00"/>
    <n v="5"/>
    <x v="44"/>
    <x v="46"/>
    <s v="(+) 14"/>
    <n v="32"/>
    <n v="47.5"/>
    <n v="712.5"/>
    <m/>
    <n v="0"/>
    <n v="0"/>
    <s v="Aguardando"/>
    <x v="1"/>
    <x v="1"/>
    <s v="Anna de Moura"/>
    <m/>
  </r>
  <r>
    <s v="Pan _T1"/>
    <s v="Panetone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5"/>
    <x v="19"/>
    <s v="(+) 18"/>
    <n v="16"/>
    <n v="47.5"/>
    <n v="855"/>
    <m/>
    <n v="0"/>
    <n v="0"/>
    <s v="Aguardando"/>
    <x v="1"/>
    <x v="1"/>
    <s v="Anna de Moura"/>
    <m/>
  </r>
  <r>
    <s v="ExcBás_T2"/>
    <s v="Excel Básico"/>
    <s v="T2"/>
    <s v="Tarde"/>
    <s v="Tecnologia da Informação"/>
    <s v="Aperfeiçoamento Profissional"/>
    <s v="Ciro Mendes"/>
    <d v="1899-12-31T16:00:00"/>
    <m/>
    <s v="x"/>
    <m/>
    <s v="x"/>
    <m/>
    <s v="1010111"/>
    <d v="1899-12-30T13:00:00"/>
    <d v="1899-12-30T17:00:00"/>
    <d v="1899-12-30T04:00:00"/>
    <n v="9.9999999999999964"/>
    <x v="45"/>
    <x v="28"/>
    <s v="(+) 15"/>
    <n v="16"/>
    <m/>
    <s v="R$ 0,00"/>
    <m/>
    <n v="0"/>
    <n v="0"/>
    <s v="Aguardando"/>
    <x v="0"/>
    <x v="0"/>
    <s v="Gratuidade"/>
    <m/>
  </r>
  <r>
    <s v="SorArt_T2"/>
    <s v="Sorvetes Artesanai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6"/>
    <x v="29"/>
    <s v="(+) 18"/>
    <n v="16"/>
    <n v="47.5"/>
    <n v="855"/>
    <m/>
    <n v="0"/>
    <n v="0"/>
    <s v="Aguardando"/>
    <x v="1"/>
    <x v="1"/>
    <s v="Anna de Moura"/>
    <m/>
  </r>
  <r>
    <s v="ManPro_T1"/>
    <s v="Manutenção Produtiva Total"/>
    <s v="T1"/>
    <s v="Noite"/>
    <m/>
    <s v="Aperfeiçoamento Profissional"/>
    <s v="Silvio Cordeiro"/>
    <d v="1899-12-30T20:00:00"/>
    <m/>
    <s v="x"/>
    <s v="x"/>
    <s v="x"/>
    <m/>
    <s v="1000111"/>
    <d v="1899-12-30T18:40:00"/>
    <d v="1899-12-30T22:00:00"/>
    <d v="1899-12-30T03:20:00"/>
    <n v="6.0000000000000027"/>
    <x v="47"/>
    <x v="30"/>
    <s v="(+) 16"/>
    <n v="16"/>
    <m/>
    <s v="R$ 0,00"/>
    <m/>
    <n v="0"/>
    <n v="0"/>
    <s v="Aguardando"/>
    <x v="0"/>
    <x v="0"/>
    <s v="Gratuidad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C7FCD-3096-492B-AAC2-425B82900963}" name="Tabela dinâmica5" cacheId="0" applyNumberFormats="0" applyBorderFormats="0" applyFontFormats="0" applyPatternFormats="0" applyAlignmentFormats="0" applyWidthHeightFormats="1" dataCaption="Valores" grandTotalCaption="Total 1º Sem." updatedVersion="8" minRefreshableVersion="3" useAutoFormatting="1" itemPrintTitles="1" createdVersion="8" indent="0" outline="1" outlineData="1" multipleFieldFilters="0" rowHeaderCaption="1º Semestre">
  <location ref="E3:F9" firstHeaderRow="1" firstDataRow="1" firstDataCol="1"/>
  <pivotFields count="36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rsos" fld="1" subtotal="count" baseField="0" baseItem="0" numFmtId="1"/>
  </dataFields>
  <formats count="28">
    <format dxfId="188">
      <pivotArea collapsedLevelsAreSubtotals="1" fieldPosition="0">
        <references count="1">
          <reference field="33" count="1">
            <x v="2"/>
          </reference>
        </references>
      </pivotArea>
    </format>
    <format dxfId="187">
      <pivotArea collapsedLevelsAreSubtotals="1" fieldPosition="0">
        <references count="1">
          <reference field="33" count="1">
            <x v="3"/>
          </reference>
        </references>
      </pivotArea>
    </format>
    <format dxfId="186">
      <pivotArea collapsedLevelsAreSubtotals="1" fieldPosition="0">
        <references count="1">
          <reference field="33" count="1">
            <x v="4"/>
          </reference>
        </references>
      </pivotArea>
    </format>
    <format dxfId="185">
      <pivotArea collapsedLevelsAreSubtotals="1" fieldPosition="0">
        <references count="1">
          <reference field="33" count="1">
            <x v="5"/>
          </reference>
        </references>
      </pivotArea>
    </format>
    <format dxfId="184">
      <pivotArea collapsedLevelsAreSubtotals="1" fieldPosition="0">
        <references count="1">
          <reference field="33" count="1">
            <x v="6"/>
          </reference>
        </references>
      </pivotArea>
    </format>
    <format dxfId="183">
      <pivotArea collapsedLevelsAreSubtotals="1" fieldPosition="0">
        <references count="1">
          <reference field="33" count="1">
            <x v="7"/>
          </reference>
        </references>
      </pivotArea>
    </format>
    <format dxfId="182">
      <pivotArea collapsedLevelsAreSubtotals="1" fieldPosition="0">
        <references count="1">
          <reference field="33" count="1">
            <x v="8"/>
          </reference>
        </references>
      </pivotArea>
    </format>
    <format dxfId="181">
      <pivotArea collapsedLevelsAreSubtotals="1" fieldPosition="0">
        <references count="1">
          <reference field="33" count="1">
            <x v="9"/>
          </reference>
        </references>
      </pivotArea>
    </format>
    <format dxfId="180">
      <pivotArea collapsedLevelsAreSubtotals="1" fieldPosition="0">
        <references count="1">
          <reference field="33" count="1">
            <x v="10"/>
          </reference>
        </references>
      </pivotArea>
    </format>
    <format dxfId="179">
      <pivotArea collapsedLevelsAreSubtotals="1" fieldPosition="0">
        <references count="1">
          <reference field="33" count="1">
            <x v="12"/>
          </reference>
        </references>
      </pivotArea>
    </format>
    <format dxfId="178">
      <pivotArea collapsedLevelsAreSubtotals="1" fieldPosition="0">
        <references count="1">
          <reference field="33" count="1">
            <x v="2"/>
          </reference>
        </references>
      </pivotArea>
    </format>
    <format dxfId="177">
      <pivotArea collapsedLevelsAreSubtotals="1" fieldPosition="0">
        <references count="1">
          <reference field="33" count="1">
            <x v="3"/>
          </reference>
        </references>
      </pivotArea>
    </format>
    <format dxfId="176">
      <pivotArea collapsedLevelsAreSubtotals="1" fieldPosition="0">
        <references count="1">
          <reference field="33" count="1">
            <x v="4"/>
          </reference>
        </references>
      </pivotArea>
    </format>
    <format dxfId="175">
      <pivotArea collapsedLevelsAreSubtotals="1" fieldPosition="0">
        <references count="1">
          <reference field="33" count="1">
            <x v="5"/>
          </reference>
        </references>
      </pivotArea>
    </format>
    <format dxfId="174">
      <pivotArea collapsedLevelsAreSubtotals="1" fieldPosition="0">
        <references count="1">
          <reference field="33" count="1">
            <x v="6"/>
          </reference>
        </references>
      </pivotArea>
    </format>
    <format dxfId="173">
      <pivotArea collapsedLevelsAreSubtotals="1" fieldPosition="0">
        <references count="1">
          <reference field="33" count="1">
            <x v="7"/>
          </reference>
        </references>
      </pivotArea>
    </format>
    <format dxfId="172">
      <pivotArea collapsedLevelsAreSubtotals="1" fieldPosition="0">
        <references count="1">
          <reference field="33" count="1">
            <x v="8"/>
          </reference>
        </references>
      </pivotArea>
    </format>
    <format dxfId="171">
      <pivotArea collapsedLevelsAreSubtotals="1" fieldPosition="0">
        <references count="1">
          <reference field="33" count="1">
            <x v="9"/>
          </reference>
        </references>
      </pivotArea>
    </format>
    <format dxfId="170">
      <pivotArea collapsedLevelsAreSubtotals="1" fieldPosition="0">
        <references count="1">
          <reference field="33" count="1">
            <x v="10"/>
          </reference>
        </references>
      </pivotArea>
    </format>
    <format dxfId="169">
      <pivotArea collapsedLevelsAreSubtotals="1" fieldPosition="0">
        <references count="1">
          <reference field="33" count="1">
            <x v="12"/>
          </reference>
        </references>
      </pivotArea>
    </format>
    <format dxfId="168">
      <pivotArea dataOnly="0" labelOnly="1" outline="0" axis="axisValues" fieldPosition="0"/>
    </format>
    <format dxfId="167">
      <pivotArea field="33" type="button" dataOnly="0" labelOnly="1" outline="0" axis="axisRow" fieldPosition="0"/>
    </format>
    <format dxfId="166">
      <pivotArea dataOnly="0" labelOnly="1" fieldPosition="0">
        <references count="1">
          <reference field="33" count="5">
            <x v="2"/>
            <x v="3"/>
            <x v="4"/>
            <x v="5"/>
            <x v="6"/>
          </reference>
        </references>
      </pivotArea>
    </format>
    <format dxfId="165">
      <pivotArea dataOnly="0" labelOnly="1" grandRow="1" outline="0" fieldPosition="0"/>
    </format>
    <format dxfId="164">
      <pivotArea outline="0" collapsedLevelsAreSubtotals="1" fieldPosition="0"/>
    </format>
    <format dxfId="163">
      <pivotArea dataOnly="0" labelOnly="1" outline="0" axis="axisValues" fieldPosition="0"/>
    </format>
    <format dxfId="162">
      <pivotArea outline="0" collapsedLevelsAreSubtotals="1" fieldPosition="0"/>
    </format>
    <format dxfId="161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12A56E-E056-4B14-9B6A-80AFF923E5D6}" name="Tabela dinâmica1" cacheId="0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rowHeaderCaption="2º Semestre">
  <location ref="E12:F19" firstHeaderRow="1" firstDataRow="1" firstDataCol="1"/>
  <pivotFields count="36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Quantidade de Cursos" fld="1" subtotal="count" baseField="0" baseItem="0" numFmtId="1"/>
  </dataFields>
  <formats count="32">
    <format dxfId="220">
      <pivotArea collapsedLevelsAreSubtotals="1" fieldPosition="0">
        <references count="1">
          <reference field="33" count="1">
            <x v="2"/>
          </reference>
        </references>
      </pivotArea>
    </format>
    <format dxfId="219">
      <pivotArea collapsedLevelsAreSubtotals="1" fieldPosition="0">
        <references count="1">
          <reference field="33" count="1">
            <x v="3"/>
          </reference>
        </references>
      </pivotArea>
    </format>
    <format dxfId="218">
      <pivotArea collapsedLevelsAreSubtotals="1" fieldPosition="0">
        <references count="1">
          <reference field="33" count="1">
            <x v="4"/>
          </reference>
        </references>
      </pivotArea>
    </format>
    <format dxfId="217">
      <pivotArea collapsedLevelsAreSubtotals="1" fieldPosition="0">
        <references count="1">
          <reference field="33" count="1">
            <x v="5"/>
          </reference>
        </references>
      </pivotArea>
    </format>
    <format dxfId="216">
      <pivotArea collapsedLevelsAreSubtotals="1" fieldPosition="0">
        <references count="1">
          <reference field="33" count="1">
            <x v="6"/>
          </reference>
        </references>
      </pivotArea>
    </format>
    <format dxfId="215">
      <pivotArea collapsedLevelsAreSubtotals="1" fieldPosition="0">
        <references count="1">
          <reference field="33" count="1">
            <x v="7"/>
          </reference>
        </references>
      </pivotArea>
    </format>
    <format dxfId="214">
      <pivotArea collapsedLevelsAreSubtotals="1" fieldPosition="0">
        <references count="1">
          <reference field="33" count="1">
            <x v="8"/>
          </reference>
        </references>
      </pivotArea>
    </format>
    <format dxfId="213">
      <pivotArea collapsedLevelsAreSubtotals="1" fieldPosition="0">
        <references count="1">
          <reference field="33" count="1">
            <x v="9"/>
          </reference>
        </references>
      </pivotArea>
    </format>
    <format dxfId="212">
      <pivotArea collapsedLevelsAreSubtotals="1" fieldPosition="0">
        <references count="1">
          <reference field="33" count="1">
            <x v="10"/>
          </reference>
        </references>
      </pivotArea>
    </format>
    <format dxfId="211">
      <pivotArea collapsedLevelsAreSubtotals="1" fieldPosition="0">
        <references count="1">
          <reference field="33" count="1">
            <x v="12"/>
          </reference>
        </references>
      </pivotArea>
    </format>
    <format dxfId="210">
      <pivotArea collapsedLevelsAreSubtotals="1" fieldPosition="0">
        <references count="1">
          <reference field="33" count="1">
            <x v="2"/>
          </reference>
        </references>
      </pivotArea>
    </format>
    <format dxfId="209">
      <pivotArea collapsedLevelsAreSubtotals="1" fieldPosition="0">
        <references count="1">
          <reference field="33" count="1">
            <x v="3"/>
          </reference>
        </references>
      </pivotArea>
    </format>
    <format dxfId="208">
      <pivotArea collapsedLevelsAreSubtotals="1" fieldPosition="0">
        <references count="1">
          <reference field="33" count="1">
            <x v="4"/>
          </reference>
        </references>
      </pivotArea>
    </format>
    <format dxfId="207">
      <pivotArea collapsedLevelsAreSubtotals="1" fieldPosition="0">
        <references count="1">
          <reference field="33" count="1">
            <x v="5"/>
          </reference>
        </references>
      </pivotArea>
    </format>
    <format dxfId="206">
      <pivotArea collapsedLevelsAreSubtotals="1" fieldPosition="0">
        <references count="1">
          <reference field="33" count="1">
            <x v="6"/>
          </reference>
        </references>
      </pivotArea>
    </format>
    <format dxfId="205">
      <pivotArea collapsedLevelsAreSubtotals="1" fieldPosition="0">
        <references count="1">
          <reference field="33" count="1">
            <x v="7"/>
          </reference>
        </references>
      </pivotArea>
    </format>
    <format dxfId="204">
      <pivotArea collapsedLevelsAreSubtotals="1" fieldPosition="0">
        <references count="1">
          <reference field="33" count="1">
            <x v="8"/>
          </reference>
        </references>
      </pivotArea>
    </format>
    <format dxfId="203">
      <pivotArea collapsedLevelsAreSubtotals="1" fieldPosition="0">
        <references count="1">
          <reference field="33" count="1">
            <x v="9"/>
          </reference>
        </references>
      </pivotArea>
    </format>
    <format dxfId="202">
      <pivotArea collapsedLevelsAreSubtotals="1" fieldPosition="0">
        <references count="1">
          <reference field="33" count="1">
            <x v="10"/>
          </reference>
        </references>
      </pivotArea>
    </format>
    <format dxfId="201">
      <pivotArea collapsedLevelsAreSubtotals="1" fieldPosition="0">
        <references count="1">
          <reference field="33" count="1">
            <x v="12"/>
          </reference>
        </references>
      </pivotArea>
    </format>
    <format dxfId="200">
      <pivotArea dataOnly="0" labelOnly="1" outline="0" axis="axisValues" fieldPosition="0"/>
    </format>
    <format dxfId="199">
      <pivotArea field="33" type="button" dataOnly="0" labelOnly="1" outline="0" axis="axisRow" fieldPosition="0"/>
    </format>
    <format dxfId="198">
      <pivotArea dataOnly="0" labelOnly="1" fieldPosition="0">
        <references count="1">
          <reference field="33" count="5">
            <x v="7"/>
            <x v="8"/>
            <x v="9"/>
            <x v="10"/>
            <x v="12"/>
          </reference>
        </references>
      </pivotArea>
    </format>
    <format dxfId="197">
      <pivotArea dataOnly="0" labelOnly="1" grandRow="1" outline="0" fieldPosition="0"/>
    </format>
    <format dxfId="196">
      <pivotArea outline="0" collapsedLevelsAreSubtotals="1" fieldPosition="0"/>
    </format>
    <format dxfId="195">
      <pivotArea dataOnly="0" labelOnly="1" outline="0" axis="axisValues" fieldPosition="0"/>
    </format>
    <format dxfId="194">
      <pivotArea outline="0" collapsedLevelsAreSubtotals="1" fieldPosition="0"/>
    </format>
    <format dxfId="193">
      <pivotArea dataOnly="0" labelOnly="1" outline="0" axis="axisValues" fieldPosition="0"/>
    </format>
    <format dxfId="192">
      <pivotArea outline="0" collapsedLevelsAreSubtotals="1" fieldPosition="0"/>
    </format>
    <format dxfId="191">
      <pivotArea dataOnly="0" labelOnly="1" outline="0" axis="axisValues" fieldPosition="0"/>
    </format>
    <format dxfId="190">
      <pivotArea collapsedLevelsAreSubtotals="1" fieldPosition="0">
        <references count="1">
          <reference field="33" count="6">
            <x v="7"/>
            <x v="8"/>
            <x v="9"/>
            <x v="10"/>
            <x v="11"/>
            <x v="12"/>
          </reference>
        </references>
      </pivotArea>
    </format>
    <format dxfId="189">
      <pivotArea grandRow="1" outline="0" collapsedLevelsAreSubtotals="1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42CB-B541-4D2B-A682-9C915F11AA9C}" name="Tabela dinâmica3" cacheId="0" applyNumberFormats="0" applyBorderFormats="0" applyFontFormats="0" applyPatternFormats="0" applyAlignmentFormats="0" applyWidthHeightFormats="1" dataCaption="Valores" grandTotalCaption="Total 2º Semestre" updatedVersion="8" minRefreshableVersion="3" useAutoFormatting="1" itemPrintTitles="1" createdVersion="8" indent="0" outline="1" outlineData="1" multipleFieldFilters="0" rowHeaderCaption="2º Semestre">
  <location ref="A12:C19" firstHeaderRow="0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246">
      <pivotArea collapsedLevelsAreSubtotals="1" fieldPosition="0">
        <references count="1">
          <reference field="33" count="1">
            <x v="2"/>
          </reference>
        </references>
      </pivotArea>
    </format>
    <format dxfId="245">
      <pivotArea collapsedLevelsAreSubtotals="1" fieldPosition="0">
        <references count="1">
          <reference field="33" count="1">
            <x v="3"/>
          </reference>
        </references>
      </pivotArea>
    </format>
    <format dxfId="244">
      <pivotArea collapsedLevelsAreSubtotals="1" fieldPosition="0">
        <references count="1">
          <reference field="33" count="1">
            <x v="4"/>
          </reference>
        </references>
      </pivotArea>
    </format>
    <format dxfId="243">
      <pivotArea collapsedLevelsAreSubtotals="1" fieldPosition="0">
        <references count="1">
          <reference field="33" count="1">
            <x v="5"/>
          </reference>
        </references>
      </pivotArea>
    </format>
    <format dxfId="242">
      <pivotArea collapsedLevelsAreSubtotals="1" fieldPosition="0">
        <references count="1">
          <reference field="33" count="1">
            <x v="6"/>
          </reference>
        </references>
      </pivotArea>
    </format>
    <format dxfId="241">
      <pivotArea collapsedLevelsAreSubtotals="1" fieldPosition="0">
        <references count="1">
          <reference field="33" count="1">
            <x v="7"/>
          </reference>
        </references>
      </pivotArea>
    </format>
    <format dxfId="240">
      <pivotArea collapsedLevelsAreSubtotals="1" fieldPosition="0">
        <references count="1">
          <reference field="33" count="1">
            <x v="8"/>
          </reference>
        </references>
      </pivotArea>
    </format>
    <format dxfId="239">
      <pivotArea collapsedLevelsAreSubtotals="1" fieldPosition="0">
        <references count="1">
          <reference field="33" count="1">
            <x v="9"/>
          </reference>
        </references>
      </pivotArea>
    </format>
    <format dxfId="238">
      <pivotArea collapsedLevelsAreSubtotals="1" fieldPosition="0">
        <references count="1">
          <reference field="33" count="1">
            <x v="10"/>
          </reference>
        </references>
      </pivotArea>
    </format>
    <format dxfId="237">
      <pivotArea collapsedLevelsAreSubtotals="1" fieldPosition="0">
        <references count="1">
          <reference field="33" count="1">
            <x v="12"/>
          </reference>
        </references>
      </pivotArea>
    </format>
    <format dxfId="236">
      <pivotArea collapsedLevelsAreSubtotals="1" fieldPosition="0">
        <references count="1">
          <reference field="33" count="1">
            <x v="2"/>
          </reference>
        </references>
      </pivotArea>
    </format>
    <format dxfId="235">
      <pivotArea collapsedLevelsAreSubtotals="1" fieldPosition="0">
        <references count="1">
          <reference field="33" count="1">
            <x v="3"/>
          </reference>
        </references>
      </pivotArea>
    </format>
    <format dxfId="234">
      <pivotArea collapsedLevelsAreSubtotals="1" fieldPosition="0">
        <references count="1">
          <reference field="33" count="1">
            <x v="4"/>
          </reference>
        </references>
      </pivotArea>
    </format>
    <format dxfId="233">
      <pivotArea collapsedLevelsAreSubtotals="1" fieldPosition="0">
        <references count="1">
          <reference field="33" count="1">
            <x v="5"/>
          </reference>
        </references>
      </pivotArea>
    </format>
    <format dxfId="232">
      <pivotArea collapsedLevelsAreSubtotals="1" fieldPosition="0">
        <references count="1">
          <reference field="33" count="1">
            <x v="6"/>
          </reference>
        </references>
      </pivotArea>
    </format>
    <format dxfId="231">
      <pivotArea collapsedLevelsAreSubtotals="1" fieldPosition="0">
        <references count="1">
          <reference field="33" count="1">
            <x v="7"/>
          </reference>
        </references>
      </pivotArea>
    </format>
    <format dxfId="230">
      <pivotArea collapsedLevelsAreSubtotals="1" fieldPosition="0">
        <references count="1">
          <reference field="33" count="1">
            <x v="8"/>
          </reference>
        </references>
      </pivotArea>
    </format>
    <format dxfId="229">
      <pivotArea collapsedLevelsAreSubtotals="1" fieldPosition="0">
        <references count="1">
          <reference field="33" count="1">
            <x v="9"/>
          </reference>
        </references>
      </pivotArea>
    </format>
    <format dxfId="228">
      <pivotArea collapsedLevelsAreSubtotals="1" fieldPosition="0">
        <references count="1">
          <reference field="33" count="1">
            <x v="10"/>
          </reference>
        </references>
      </pivotArea>
    </format>
    <format dxfId="227">
      <pivotArea collapsedLevelsAreSubtotals="1" fieldPosition="0">
        <references count="1">
          <reference field="33" count="1">
            <x v="12"/>
          </reference>
        </references>
      </pivotArea>
    </format>
    <format dxfId="226">
      <pivotArea dataOnly="0" labelOnly="1" outline="0" axis="axisValues" fieldPosition="0"/>
    </format>
    <format dxfId="225">
      <pivotArea outline="0" collapsedLevelsAreSubtotals="1" fieldPosition="0"/>
    </format>
    <format dxfId="224">
      <pivotArea dataOnly="0" labelOnly="1" outline="0" axis="axisValues" fieldPosition="0"/>
    </format>
    <format dxfId="223">
      <pivotArea field="33" type="button" dataOnly="0" labelOnly="1" outline="0" axis="axisRow" fieldPosition="0"/>
    </format>
    <format dxfId="222">
      <pivotArea dataOnly="0" labelOnly="1" fieldPosition="0">
        <references count="1">
          <reference field="33" count="5">
            <x v="7"/>
            <x v="8"/>
            <x v="9"/>
            <x v="10"/>
            <x v="12"/>
          </reference>
        </references>
      </pivotArea>
    </format>
    <format dxfId="221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0D412-E5EE-4D05-B4A8-A1D956405987}" name="Tabela dinâmica2" cacheId="0" applyNumberFormats="0" applyBorderFormats="0" applyFontFormats="0" applyPatternFormats="0" applyAlignmentFormats="0" applyWidthHeightFormats="1" dataCaption="Valores" grandTotalCaption="Total 1º Semestre" updatedVersion="8" minRefreshableVersion="3" useAutoFormatting="1" itemPrintTitles="1" createdVersion="8" indent="0" outline="1" outlineData="1" multipleFieldFilters="0" rowHeaderCaption="1º Semestre">
  <location ref="A3:C9" firstHeaderRow="0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272">
      <pivotArea collapsedLevelsAreSubtotals="1" fieldPosition="0">
        <references count="1">
          <reference field="33" count="1">
            <x v="2"/>
          </reference>
        </references>
      </pivotArea>
    </format>
    <format dxfId="271">
      <pivotArea collapsedLevelsAreSubtotals="1" fieldPosition="0">
        <references count="1">
          <reference field="33" count="1">
            <x v="3"/>
          </reference>
        </references>
      </pivotArea>
    </format>
    <format dxfId="270">
      <pivotArea collapsedLevelsAreSubtotals="1" fieldPosition="0">
        <references count="1">
          <reference field="33" count="1">
            <x v="4"/>
          </reference>
        </references>
      </pivotArea>
    </format>
    <format dxfId="269">
      <pivotArea collapsedLevelsAreSubtotals="1" fieldPosition="0">
        <references count="1">
          <reference field="33" count="1">
            <x v="5"/>
          </reference>
        </references>
      </pivotArea>
    </format>
    <format dxfId="268">
      <pivotArea collapsedLevelsAreSubtotals="1" fieldPosition="0">
        <references count="1">
          <reference field="33" count="1">
            <x v="6"/>
          </reference>
        </references>
      </pivotArea>
    </format>
    <format dxfId="267">
      <pivotArea collapsedLevelsAreSubtotals="1" fieldPosition="0">
        <references count="1">
          <reference field="33" count="1">
            <x v="7"/>
          </reference>
        </references>
      </pivotArea>
    </format>
    <format dxfId="266">
      <pivotArea collapsedLevelsAreSubtotals="1" fieldPosition="0">
        <references count="1">
          <reference field="33" count="1">
            <x v="8"/>
          </reference>
        </references>
      </pivotArea>
    </format>
    <format dxfId="265">
      <pivotArea collapsedLevelsAreSubtotals="1" fieldPosition="0">
        <references count="1">
          <reference field="33" count="1">
            <x v="9"/>
          </reference>
        </references>
      </pivotArea>
    </format>
    <format dxfId="264">
      <pivotArea collapsedLevelsAreSubtotals="1" fieldPosition="0">
        <references count="1">
          <reference field="33" count="1">
            <x v="10"/>
          </reference>
        </references>
      </pivotArea>
    </format>
    <format dxfId="263">
      <pivotArea collapsedLevelsAreSubtotals="1" fieldPosition="0">
        <references count="1">
          <reference field="33" count="1">
            <x v="12"/>
          </reference>
        </references>
      </pivotArea>
    </format>
    <format dxfId="262">
      <pivotArea collapsedLevelsAreSubtotals="1" fieldPosition="0">
        <references count="1">
          <reference field="33" count="1">
            <x v="2"/>
          </reference>
        </references>
      </pivotArea>
    </format>
    <format dxfId="261">
      <pivotArea collapsedLevelsAreSubtotals="1" fieldPosition="0">
        <references count="1">
          <reference field="33" count="1">
            <x v="3"/>
          </reference>
        </references>
      </pivotArea>
    </format>
    <format dxfId="260">
      <pivotArea collapsedLevelsAreSubtotals="1" fieldPosition="0">
        <references count="1">
          <reference field="33" count="1">
            <x v="4"/>
          </reference>
        </references>
      </pivotArea>
    </format>
    <format dxfId="259">
      <pivotArea collapsedLevelsAreSubtotals="1" fieldPosition="0">
        <references count="1">
          <reference field="33" count="1">
            <x v="5"/>
          </reference>
        </references>
      </pivotArea>
    </format>
    <format dxfId="258">
      <pivotArea collapsedLevelsAreSubtotals="1" fieldPosition="0">
        <references count="1">
          <reference field="33" count="1">
            <x v="6"/>
          </reference>
        </references>
      </pivotArea>
    </format>
    <format dxfId="257">
      <pivotArea collapsedLevelsAreSubtotals="1" fieldPosition="0">
        <references count="1">
          <reference field="33" count="1">
            <x v="7"/>
          </reference>
        </references>
      </pivotArea>
    </format>
    <format dxfId="256">
      <pivotArea collapsedLevelsAreSubtotals="1" fieldPosition="0">
        <references count="1">
          <reference field="33" count="1">
            <x v="8"/>
          </reference>
        </references>
      </pivotArea>
    </format>
    <format dxfId="255">
      <pivotArea collapsedLevelsAreSubtotals="1" fieldPosition="0">
        <references count="1">
          <reference field="33" count="1">
            <x v="9"/>
          </reference>
        </references>
      </pivotArea>
    </format>
    <format dxfId="254">
      <pivotArea collapsedLevelsAreSubtotals="1" fieldPosition="0">
        <references count="1">
          <reference field="33" count="1">
            <x v="10"/>
          </reference>
        </references>
      </pivotArea>
    </format>
    <format dxfId="253">
      <pivotArea collapsedLevelsAreSubtotals="1" fieldPosition="0">
        <references count="1">
          <reference field="33" count="1">
            <x v="12"/>
          </reference>
        </references>
      </pivotArea>
    </format>
    <format dxfId="252">
      <pivotArea dataOnly="0" labelOnly="1" outline="0" axis="axisValues" fieldPosition="0"/>
    </format>
    <format dxfId="251">
      <pivotArea outline="0" collapsedLevelsAreSubtotals="1" fieldPosition="0"/>
    </format>
    <format dxfId="250">
      <pivotArea dataOnly="0" labelOnly="1" outline="0" axis="axisValues" fieldPosition="0"/>
    </format>
    <format dxfId="249">
      <pivotArea field="33" type="button" dataOnly="0" labelOnly="1" outline="0" axis="axisRow" fieldPosition="0"/>
    </format>
    <format dxfId="248">
      <pivotArea dataOnly="0" labelOnly="1" fieldPosition="0">
        <references count="1">
          <reference field="33" count="5">
            <x v="2"/>
            <x v="3"/>
            <x v="4"/>
            <x v="5"/>
            <x v="6"/>
          </reference>
        </references>
      </pivotArea>
    </format>
    <format dxfId="247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32D17-E77C-4EBD-BC7D-F3343B731044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Fonte Pagadora / Certificação">
  <location ref="H2:I12" firstHeaderRow="1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axis="axisRow" dataField="1" showAll="0">
      <items count="7">
        <item x="1"/>
        <item x="3"/>
        <item m="1" x="4"/>
        <item x="0"/>
        <item m="1" x="5"/>
        <item x="2"/>
        <item t="default"/>
      </items>
    </pivotField>
    <pivotField axis="axisRow" showAll="0">
      <items count="7">
        <item x="1"/>
        <item x="3"/>
        <item m="1" x="4"/>
        <item x="0"/>
        <item m="1" x="5"/>
        <item x="2"/>
        <item t="default"/>
      </items>
    </pivotField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28"/>
    <field x="29"/>
  </rowFields>
  <rowItems count="10">
    <i>
      <x/>
    </i>
    <i r="1">
      <x/>
    </i>
    <i r="1">
      <x v="3"/>
    </i>
    <i>
      <x v="1"/>
    </i>
    <i r="1">
      <x v="1"/>
    </i>
    <i>
      <x v="3"/>
    </i>
    <i r="1">
      <x v="3"/>
    </i>
    <i>
      <x v="5"/>
    </i>
    <i r="1">
      <x v="5"/>
    </i>
    <i t="grand">
      <x/>
    </i>
  </rowItems>
  <colItems count="1">
    <i/>
  </colItems>
  <dataFields count="1">
    <dataField name="Quant. de Cursos" fld="28" subtotal="count" baseField="0" baseItem="0"/>
  </dataFields>
  <formats count="12">
    <format dxfId="284">
      <pivotArea field="28" type="button" dataOnly="0" labelOnly="1" outline="0" axis="axisRow" fieldPosition="0"/>
    </format>
    <format dxfId="283">
      <pivotArea dataOnly="0" labelOnly="1" fieldPosition="0">
        <references count="1">
          <reference field="28" count="0"/>
        </references>
      </pivotArea>
    </format>
    <format dxfId="282">
      <pivotArea dataOnly="0" labelOnly="1" grandRow="1" outline="0" fieldPosition="0"/>
    </format>
    <format dxfId="281">
      <pivotArea dataOnly="0" labelOnly="1" fieldPosition="0">
        <references count="2">
          <reference field="28" count="1" selected="0">
            <x v="0"/>
          </reference>
          <reference field="29" count="2">
            <x v="0"/>
            <x v="3"/>
          </reference>
        </references>
      </pivotArea>
    </format>
    <format dxfId="280">
      <pivotArea dataOnly="0" labelOnly="1" fieldPosition="0">
        <references count="2">
          <reference field="28" count="1" selected="0">
            <x v="1"/>
          </reference>
          <reference field="29" count="1">
            <x v="1"/>
          </reference>
        </references>
      </pivotArea>
    </format>
    <format dxfId="279">
      <pivotArea dataOnly="0" labelOnly="1" fieldPosition="0">
        <references count="2">
          <reference field="28" count="1" selected="0">
            <x v="2"/>
          </reference>
          <reference field="29" count="1">
            <x v="2"/>
          </reference>
        </references>
      </pivotArea>
    </format>
    <format dxfId="278">
      <pivotArea dataOnly="0" labelOnly="1" fieldPosition="0">
        <references count="2">
          <reference field="28" count="1" selected="0">
            <x v="3"/>
          </reference>
          <reference field="29" count="1">
            <x v="3"/>
          </reference>
        </references>
      </pivotArea>
    </format>
    <format dxfId="277">
      <pivotArea dataOnly="0" labelOnly="1" outline="0" axis="axisValues" fieldPosition="0"/>
    </format>
    <format dxfId="276">
      <pivotArea outline="0" collapsedLevelsAreSubtotals="1" fieldPosition="0"/>
    </format>
    <format dxfId="275">
      <pivotArea dataOnly="0" labelOnly="1" outline="0" axis="axisValues" fieldPosition="0"/>
    </format>
    <format dxfId="274">
      <pivotArea outline="0" collapsedLevelsAreSubtotals="1" fieldPosition="0"/>
    </format>
    <format dxfId="27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7904B2-B946-4510-A197-8703ED56128B}" name="Planejamento2025" displayName="Planejamento2025" ref="A1:AG80" totalsRowCount="1" headerRowDxfId="156" dataDxfId="155" totalsRowDxfId="153" tableBorderDxfId="154" headerRowCellStyle="Moeda">
  <autoFilter ref="A1:AG79" xr:uid="{777904B2-B946-4510-A197-8703ED56128B}"/>
  <sortState xmlns:xlrd2="http://schemas.microsoft.com/office/spreadsheetml/2017/richdata2" ref="A2:AG79">
    <sortCondition ref="S1:S79"/>
  </sortState>
  <tableColumns count="33">
    <tableColumn id="1" xr3:uid="{2A7FB6E3-45C9-4776-BDB3-BCCB48F476F7}" name="ID" totalsRowLabel="Total" dataDxfId="152" totalsRowDxfId="32">
      <calculatedColumnFormula>CONCATENATE(MID(Planejamento2025[[#This Row],[Curso]],1,3),IF(ISERROR(FIND(" ",Planejamento2025[[#This Row],[Curso]]))," ",MID(Planejamento2025[[#This Row],[Curso]],FIND(" ",Planejamento2025[[#This Row],[Curso]])+1,3)),"_",Planejamento2025[[#This Row],[Turma]])</calculatedColumnFormula>
    </tableColumn>
    <tableColumn id="27" xr3:uid="{6B0D587C-F10C-41E7-9B7B-AF0678CF3790}" name="Curso" dataDxfId="151" totalsRowDxfId="31"/>
    <tableColumn id="22" xr3:uid="{03B0334C-3103-46D1-9524-1B7A811A9C5B}" name="Turma" dataDxfId="150" totalsRowDxfId="30"/>
    <tableColumn id="30" xr3:uid="{AE948042-FA80-4B81-92DC-17402E447D9B}" name="Período" dataDxfId="149" totalsRowDxfId="29"/>
    <tableColumn id="24" xr3:uid="{8C1F7810-1AEA-455B-ABB0-06F8866A1675}" name="Área" dataDxfId="148" totalsRowDxfId="28"/>
    <tableColumn id="25" xr3:uid="{F1C48A93-B8E0-4E9C-82A9-1A1A762232DE}" name="Nível" dataDxfId="147" totalsRowDxfId="27"/>
    <tableColumn id="26" xr3:uid="{3B81635C-19FE-4FB4-9A9A-90F1E4044A08}" name="Professor" dataDxfId="146" totalsRowDxfId="26"/>
    <tableColumn id="2" xr3:uid="{A68D6E34-A802-4A45-BED9-E6B156E8F5A2}" name="Carga Horária" dataDxfId="145" totalsRowDxfId="25"/>
    <tableColumn id="9" xr3:uid="{EA6E5E63-2AC1-48CF-BA02-7D49F4125BD1}" name="Seg" dataDxfId="144" totalsRowDxfId="24"/>
    <tableColumn id="20" xr3:uid="{71A23B8F-4A63-40E4-98CE-45AE14E848C0}" name="Ter" dataDxfId="143" totalsRowDxfId="23"/>
    <tableColumn id="19" xr3:uid="{9FDA491C-E498-4D0E-AB9B-D497FE28D9EC}" name="Qua" dataDxfId="142" totalsRowDxfId="22"/>
    <tableColumn id="21" xr3:uid="{0ABE7EA7-1E98-4078-BB3C-C0EFDD7797EC}" name="Qui" dataDxfId="141" totalsRowDxfId="21"/>
    <tableColumn id="18" xr3:uid="{BAC0E853-E6EC-42F3-B5EB-FF3373484EA0}" name="Sex" dataDxfId="140" totalsRowDxfId="20"/>
    <tableColumn id="28" xr3:uid="{3C1E755C-7C35-4EF0-8E36-CFBFB7AABB66}" name="Padrão" dataDxfId="139" totalsRowDxfId="19">
      <calculatedColumnFormula>IF(I2="X","0","1")&amp;IF(J2="X","0","1")&amp;IF(K2="X","0","1")&amp;IF(L2="X","0","1")&amp;IF(M2="X","0","1")&amp;"11"</calculatedColumnFormula>
    </tableColumn>
    <tableColumn id="11" xr3:uid="{649C2C2C-2559-4F68-8A7F-57CB47CDE97A}" name="Entrada" dataDxfId="138" totalsRowDxfId="18"/>
    <tableColumn id="10" xr3:uid="{CB609F23-A8DC-4D92-876C-D8F60ED9DC43}" name="Saída" dataDxfId="137" totalsRowDxfId="17"/>
    <tableColumn id="13" xr3:uid="{45F56C81-02DC-4868-8A2F-380D28E78B3A}" name="Carga Horária / dia" dataDxfId="136" totalsRowDxfId="16">
      <calculatedColumnFormula>Planejamento2025[[#This Row],[Saída]]-Planejamento2025[[#This Row],[Entrada]]</calculatedColumnFormula>
    </tableColumn>
    <tableColumn id="14" xr3:uid="{78C1D71A-3E0C-475E-8D03-1A42CDEE2E80}" name="Dias Letivos" dataDxfId="135" totalsRowDxfId="15">
      <calculatedColumnFormula>Planejamento2025[[#This Row],[Carga Horária]]/Q2</calculatedColumnFormula>
    </tableColumn>
    <tableColumn id="16" xr3:uid="{15781A11-EFCF-491C-90FA-86A6E2A2B6B1}" name="Início" dataDxfId="134" totalsRowDxfId="14"/>
    <tableColumn id="15" xr3:uid="{E7CA744C-2835-4D8A-868D-8EDBFE26202C}" name="Fim" dataDxfId="133" totalsRowDxfId="13">
      <calculatedColumnFormula>WORKDAY.INTL(S2,R2,Planejamento2025[[#This Row],[Padrão]],Calendário!$R$4:$R$35)</calculatedColumnFormula>
    </tableColumn>
    <tableColumn id="3" xr3:uid="{6365F4E0-3F52-4E0B-80DD-CC5C3B911653}" name="Público" dataDxfId="132" totalsRowDxfId="12"/>
    <tableColumn id="4" xr3:uid="{2FC8AF98-B57E-452A-8709-CE1848A6A8E2}" name="Capac. Máx." totalsRowFunction="sum" dataDxfId="131" totalsRowDxfId="11"/>
    <tableColumn id="5" xr3:uid="{6DDAC303-518C-4827-981E-266D1B49860E}" name="Valor/ Hora" dataDxfId="130" totalsRowDxfId="10" dataCellStyle="Moeda"/>
    <tableColumn id="6" xr3:uid="{F0A44D9B-8F88-4DFA-B292-F1F3F81327DB}" name="Valor Previsto" totalsRowFunction="sum" dataDxfId="129" totalsRowDxfId="9" dataCellStyle="Moeda">
      <calculatedColumnFormula>IF(Planejamento2025[[#This Row],[Fonte Pagadora]]="Anna de Moura",(W2*H2*24),"R$ 0,00")</calculatedColumnFormula>
    </tableColumn>
    <tableColumn id="29" xr3:uid="{B0E61B98-D616-477D-AA0C-4C3CB4DF04CC}" name="Contribuição" totalsRowFunction="sum" dataDxfId="128" totalsRowDxfId="8" dataCellStyle="Moeda"/>
    <tableColumn id="31" xr3:uid="{75921EFE-C80B-45E2-B3EE-8E43FC30830F}" name="Valor RH" totalsRowFunction="sum" dataDxfId="127" totalsRowDxfId="7" dataCellStyle="Moeda">
      <calculatedColumnFormula>INDEX(Tabela1[Valor RH / Executado],MATCH(Planejamento2025[[#This Row],[ID]],Tabela1[ID],0))</calculatedColumnFormula>
    </tableColumn>
    <tableColumn id="23" xr3:uid="{1C36B7C4-F8E8-4C54-8059-5B331DABF4BB}" name="Valor Insumo" totalsRowFunction="sum" dataDxfId="126" totalsRowDxfId="6" dataCellStyle="Moeda">
      <calculatedColumnFormula>INDEX(Tabela1[Valor Insumo / Executado],MATCH(Planejamento2025[[#This Row],[ID]],Tabela1[ID],0))</calculatedColumnFormula>
    </tableColumn>
    <tableColumn id="8" xr3:uid="{3D993881-620B-439E-B811-D258743C401A}" name="Status" totalsRowFunction="sum" dataDxfId="125" totalsRowDxfId="5" dataCellStyle="Moeda">
      <calculatedColumnFormula>IF(TODAY()&lt;Planejamento2025[[#This Row],[Início]],"Aguardando",IF(AND(TODAY()&gt;=Planejamento2025[[#This Row],[Início]],TODAY()&lt;=Planejamento2025[[#This Row],[Fim]]),"Em andamento","Finalizado"))</calculatedColumnFormula>
    </tableColumn>
    <tableColumn id="7" xr3:uid="{0A88C945-3635-45AC-8819-2A1CB8C5C2BB}" name="Fonte Pagadora" totalsRowFunction="sum" dataDxfId="124" totalsRowDxfId="4"/>
    <tableColumn id="17" xr3:uid="{742B45F6-9A3A-4C36-BEF0-AA87983A3C25}" name="Certificação" totalsRowFunction="sum" dataDxfId="123" totalsRowDxfId="3"/>
    <tableColumn id="12" xr3:uid="{3AB6213F-7845-4304-B888-B91C58802168}" name="Tipo de Contrato" dataDxfId="122" totalsRowDxfId="2">
      <calculatedColumnFormula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calculatedColumnFormula>
    </tableColumn>
    <tableColumn id="33" xr3:uid="{8D297B9F-88FC-4412-B0C0-1DC9BAE995D6}" name="Sala" dataDxfId="121" totalsRowDxfId="1"/>
    <tableColumn id="32" xr3:uid="{90B1EAD6-F7F8-49B2-8547-802DE1C6C18E}" name="Coluna1" dataDxfId="120" totalsRowDxfId="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DCCF9-6AC2-4A98-B77E-CEA832447C9B}" name="ControleSala" displayName="ControleSala" ref="A1:F23" totalsRowShown="0" headerRowDxfId="119" headerRowBorderDxfId="118" tableBorderDxfId="117">
  <autoFilter ref="A1:F23" xr:uid="{4F9DCCF9-6AC2-4A98-B77E-CEA832447C9B}"/>
  <tableColumns count="6">
    <tableColumn id="1" xr3:uid="{EF2BB301-035C-4585-A281-0B3DED4E528A}" name="Sala" dataDxfId="116"/>
    <tableColumn id="3" xr3:uid="{7DD2282E-D6B7-4B2B-81A9-820E804A86B0}" name="Curso"/>
    <tableColumn id="4" xr3:uid="{18587FBE-8D30-4F75-A112-D79340A169E3}" name="Período"/>
    <tableColumn id="5" xr3:uid="{8C36799E-4CAD-43DE-A563-951B43872060}" name="Data Início"/>
    <tableColumn id="6" xr3:uid="{90ED3E2E-5F91-4B2B-A14B-8000D1A74363}" name="Data Fim"/>
    <tableColumn id="7" xr3:uid="{7B1CD686-B5BA-4217-AFAE-3F543D82E441}" name="Status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716407-8BE6-4561-A9AF-F143086DB49C}" name="Tabela1" displayName="Tabela1" ref="A2:E80" totalsRowCount="1" tableBorderDxfId="113">
  <autoFilter ref="A2:E79" xr:uid="{91716407-8BE6-4561-A9AF-F143086DB49C}"/>
  <tableColumns count="5">
    <tableColumn id="1" xr3:uid="{F893D9A6-8A57-4073-97BB-BE66D67D089C}" name="ID" dataDxfId="112" totalsRowDxfId="111">
      <calculatedColumnFormula>Planejamento2025[[#This Row],[ID]]</calculatedColumnFormula>
    </tableColumn>
    <tableColumn id="2" xr3:uid="{E7097462-A5A6-410C-B480-11DDCA168A01}" name="Curso" dataDxfId="110" totalsRowDxfId="109">
      <calculatedColumnFormula>IFERROR(VLOOKUP(A3,Planejamento2025[[#Data],[#Totals]],2,FALSE),0)</calculatedColumnFormula>
    </tableColumn>
    <tableColumn id="3" xr3:uid="{22E34863-1F98-41E6-AF72-265B258DF16B}" name="Valor Previsto" totalsRowFunction="sum" dataDxfId="108" totalsRowDxfId="107" dataCellStyle="Moeda">
      <calculatedColumnFormula>IFERROR(VLOOKUP(A3,Planejamento2025[[#Data],[#Totals]],24,FALSE),0)</calculatedColumnFormula>
    </tableColumn>
    <tableColumn id="4" xr3:uid="{C6D36B8C-E142-4CA2-9FA3-DC3FE5890184}" name="Valor RH / Executado" totalsRowFunction="sum" dataDxfId="106" totalsRowDxfId="105" dataCellStyle="Moeda">
      <calculatedColumnFormula>IFERROR(VLOOKUP(A3,'RH '!$A$4:$I$27,9,FALSE),0)</calculatedColumnFormula>
    </tableColumn>
    <tableColumn id="5" xr3:uid="{B848DB12-6F72-46C4-BD57-C82424DD67FA}" name="Valor Insumo / Executado" totalsRowFunction="sum" dataDxfId="104" totalsRowDxfId="103" dataCellStyle="Moeda">
      <calculatedColumnFormula>IFERROR(VLOOKUP(A3,Insumos!$A$3:$I$10,9,FALSE),0)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177762-91EE-46D3-A4EA-58A280ABC97D}" name="Tabela1453" displayName="Tabela1453" ref="A2:AB30" totalsRowCount="1" headerRowDxfId="92" dataDxfId="91" totalsRowDxfId="89" tableBorderDxfId="90" headerRowCellStyle="Moeda">
  <autoFilter ref="A2:AB29" xr:uid="{5C887F2B-ACFF-4318-9C53-88308DAE83D4}"/>
  <sortState xmlns:xlrd2="http://schemas.microsoft.com/office/spreadsheetml/2017/richdata2" ref="A2:AB3">
    <sortCondition ref="A2"/>
  </sortState>
  <tableColumns count="28">
    <tableColumn id="1" xr3:uid="{3E88CEEC-DFD2-49E4-BB3A-9EFCEB81DBD3}" name="ID" totalsRowLabel="Total" dataDxfId="88" totalsRowDxfId="87">
      <calculatedColumnFormula>CONCATENATE(LEFT(Tabela1453[[#This Row],[Nível]],1),"_",MID(Tabela1453[[#This Row],[Curso]],1,1),IF(ISERROR(FIND(" ",Tabela1453[[#This Row],[Curso]]))," ",MID(Tabela1453[[#This Row],[Curso]],FIND(" ",Tabela1453[[#This Row],[Curso]])+1,1)))</calculatedColumnFormula>
    </tableColumn>
    <tableColumn id="27" xr3:uid="{C2C34CD6-AAD8-43C2-BF03-1F39ACB1FD7C}" name="Curso" dataDxfId="86" totalsRowDxfId="85"/>
    <tableColumn id="22" xr3:uid="{0D784101-3ABA-4DF3-894C-54EB1B7A680F}" name="Turma" dataDxfId="84" totalsRowDxfId="83"/>
    <tableColumn id="24" xr3:uid="{57F369E1-AFF2-4ABB-AC53-449712926A9F}" name="Área" dataDxfId="82" totalsRowDxfId="81"/>
    <tableColumn id="25" xr3:uid="{944A4CCC-296F-42FE-A55D-D1A3E28A4108}" name="Nível" dataDxfId="80" totalsRowDxfId="79"/>
    <tableColumn id="26" xr3:uid="{B62E03B0-AA5E-46BF-9329-1120A1621A90}" name="Professor" dataDxfId="78" totalsRowDxfId="77"/>
    <tableColumn id="2" xr3:uid="{E0C6547E-3F31-402D-AFC0-E2DB7743A598}" name="Carga Horária" dataDxfId="76" totalsRowDxfId="75"/>
    <tableColumn id="8" xr3:uid="{8C542B57-049A-497E-A48B-79E47C25EF95}" name="Duração" dataDxfId="74" totalsRowDxfId="73"/>
    <tableColumn id="9" xr3:uid="{E6279171-30FB-4A8C-AB6C-2BB83641F258}" name="Seg" dataDxfId="72" totalsRowDxfId="71"/>
    <tableColumn id="20" xr3:uid="{2789A117-5E25-4776-A952-39B5CF3597DF}" name="Ter" dataDxfId="70" totalsRowDxfId="69"/>
    <tableColumn id="19" xr3:uid="{6AC672E0-1D6F-4778-A9C0-EF4C49A211CF}" name="Qua" dataDxfId="68" totalsRowDxfId="67"/>
    <tableColumn id="21" xr3:uid="{2FE34D11-BE6A-4B3D-AE2D-4D12BB25E588}" name="Qui" dataDxfId="66" totalsRowDxfId="65"/>
    <tableColumn id="18" xr3:uid="{BC413294-42D6-4E50-A9CE-A86718A7E8F4}" name="Sex" dataDxfId="64" totalsRowDxfId="63"/>
    <tableColumn id="28" xr3:uid="{26846101-3EEB-436B-B795-E031044C5A79}" name="Padrão" dataDxfId="62" totalsRowDxfId="61">
      <calculatedColumnFormula>IF(I3="X","0","1")&amp;IF(J3="X","0","1")&amp;IF(K3="X","0","1")&amp;IF(L3="X","0","1")&amp;IF(M3="X","0","1")&amp;"11"</calculatedColumnFormula>
    </tableColumn>
    <tableColumn id="11" xr3:uid="{3161848D-CC84-4C4C-95D5-61EAE867EF95}" name="Entrada" dataDxfId="60" totalsRowDxfId="59"/>
    <tableColumn id="10" xr3:uid="{F4E23EA3-6809-4D8B-83E2-F3630C483AB3}" name="Saída" dataDxfId="58" totalsRowDxfId="57"/>
    <tableColumn id="13" xr3:uid="{AAC49D24-D833-4679-8E56-1820FC90D4EC}" name="Carga Horária / dia" dataDxfId="56" totalsRowDxfId="55">
      <calculatedColumnFormula>Tabela1453[[#This Row],[Saída]]-Tabela1453[[#This Row],[Entrada]]</calculatedColumnFormula>
    </tableColumn>
    <tableColumn id="14" xr3:uid="{D591FB04-E65D-4987-A5E0-9F0A6C7EB5B0}" name="Dias Letivos" dataDxfId="54" totalsRowDxfId="53">
      <calculatedColumnFormula>Tabela1453[[#This Row],[Carga Horária]]/Q3</calculatedColumnFormula>
    </tableColumn>
    <tableColumn id="16" xr3:uid="{C187C1B9-B6F7-4E6E-B860-5E329B136435}" name="Início" dataDxfId="52" totalsRowDxfId="51"/>
    <tableColumn id="15" xr3:uid="{8A65B024-76CF-4ADF-A206-1A325B202387}" name="Fim" dataDxfId="50" totalsRowDxfId="49">
      <calculatedColumnFormula>WORKDAY.INTL(S3-1,R3,Tabela1453[[#This Row],[Padrão]],Calendário!$R$4:$R$35)</calculatedColumnFormula>
    </tableColumn>
    <tableColumn id="3" xr3:uid="{FFEADEC7-0FE5-45D1-A379-E1BCD96EB360}" name="Público" dataDxfId="48" totalsRowDxfId="47"/>
    <tableColumn id="4" xr3:uid="{42F36DA5-2CD5-4A84-BC27-AAA1E3E809FD}" name="Capac. Máx." totalsRowFunction="sum" dataDxfId="46" totalsRowDxfId="45"/>
    <tableColumn id="5" xr3:uid="{587758D6-316B-4F86-9445-C540C13047F1}" name="Valor/ Hora" dataDxfId="44" totalsRowDxfId="43" dataCellStyle="Moeda"/>
    <tableColumn id="6" xr3:uid="{80432689-21A8-4AB2-90B0-239F0E63D7BB}" name="Valor Previsto" totalsRowFunction="sum" dataDxfId="42" totalsRowDxfId="41" dataCellStyle="Moeda">
      <calculatedColumnFormula>IF(Tabela1453[[#This Row],[Fonte Pagadora]]="Anna de Moura",(W3*G3*24),"-")</calculatedColumnFormula>
    </tableColumn>
    <tableColumn id="23" xr3:uid="{80964B17-4124-4186-8AC9-61E433639084}" name="VALOR EXECUTADO" dataDxfId="40" totalsRowDxfId="39" dataCellStyle="Moeda"/>
    <tableColumn id="7" xr3:uid="{F353BB37-BEFD-4851-9A44-BE26F8CD96F8}" name="Fonte Pagadora" dataDxfId="38" totalsRowDxfId="37"/>
    <tableColumn id="17" xr3:uid="{675FE005-2306-4E97-A246-502CB75FFAC3}" name="Certificação" dataDxfId="36" totalsRowDxfId="35"/>
    <tableColumn id="12" xr3:uid="{7BDE65FE-70E6-4593-A26D-CBC8FA73EE9D}" name="Contrib." dataDxfId="34" totalsRowDxfId="33" dataCellStyle="Moeda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wincalendar.com/pt/Modelos-Calendario-Word" TargetMode="External"/><Relationship Id="rId1" Type="http://schemas.openxmlformats.org/officeDocument/2006/relationships/hyperlink" Target="https://www.wincalendar.com/calendario/Brasil-2025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B4C6C-7964-45C5-A88C-0A33C8C2E0F1}">
  <sheetPr codeName="Planilha7"/>
  <dimension ref="A1:I43"/>
  <sheetViews>
    <sheetView workbookViewId="0">
      <selection activeCell="C26" sqref="C26"/>
    </sheetView>
  </sheetViews>
  <sheetFormatPr defaultRowHeight="15" x14ac:dyDescent="0.25"/>
  <cols>
    <col min="1" max="1" width="16.85546875" style="4" bestFit="1" customWidth="1"/>
    <col min="2" max="2" width="16.140625" style="298" bestFit="1" customWidth="1"/>
    <col min="3" max="3" width="15.42578125" style="298" bestFit="1" customWidth="1"/>
    <col min="4" max="4" width="2.85546875" style="298" customWidth="1"/>
    <col min="5" max="5" width="14.140625" style="298" bestFit="1" customWidth="1"/>
    <col min="6" max="6" width="20.7109375" bestFit="1" customWidth="1"/>
    <col min="7" max="7" width="4.42578125" customWidth="1"/>
    <col min="8" max="8" width="19.85546875" bestFit="1" customWidth="1"/>
    <col min="9" max="9" width="9.7109375" style="48" bestFit="1" customWidth="1"/>
    <col min="10" max="11" width="7.7109375" bestFit="1" customWidth="1"/>
    <col min="12" max="14" width="12.140625" bestFit="1" customWidth="1"/>
    <col min="15" max="16" width="13.28515625" bestFit="1" customWidth="1"/>
    <col min="17" max="17" width="12.140625" bestFit="1" customWidth="1"/>
    <col min="18" max="19" width="13.28515625" bestFit="1" customWidth="1"/>
    <col min="20" max="20" width="10.5703125" bestFit="1" customWidth="1"/>
    <col min="21" max="21" width="7.7109375" bestFit="1" customWidth="1"/>
    <col min="22" max="23" width="13.28515625" bestFit="1" customWidth="1"/>
    <col min="24" max="24" width="12.140625" bestFit="1" customWidth="1"/>
    <col min="25" max="30" width="7.7109375" bestFit="1" customWidth="1"/>
    <col min="31" max="31" width="12.140625" bestFit="1" customWidth="1"/>
    <col min="32" max="32" width="7.7109375" bestFit="1" customWidth="1"/>
    <col min="33" max="34" width="12.140625" bestFit="1" customWidth="1"/>
    <col min="35" max="35" width="7.7109375" bestFit="1" customWidth="1"/>
    <col min="36" max="36" width="12.140625" bestFit="1" customWidth="1"/>
    <col min="37" max="37" width="7.7109375" bestFit="1" customWidth="1"/>
    <col min="38" max="38" width="10.5703125" bestFit="1" customWidth="1"/>
    <col min="39" max="39" width="12.140625" bestFit="1" customWidth="1"/>
    <col min="40" max="40" width="10.5703125" bestFit="1" customWidth="1"/>
    <col min="41" max="41" width="13.28515625" bestFit="1" customWidth="1"/>
    <col min="42" max="43" width="12.140625" bestFit="1" customWidth="1"/>
    <col min="44" max="46" width="7.7109375" bestFit="1" customWidth="1"/>
    <col min="47" max="47" width="13.28515625" bestFit="1" customWidth="1"/>
  </cols>
  <sheetData>
    <row r="1" spans="1:9" x14ac:dyDescent="0.25">
      <c r="A1" s="449" t="s">
        <v>75</v>
      </c>
      <c r="B1" s="449"/>
      <c r="C1" s="449"/>
      <c r="D1" s="449"/>
      <c r="E1" s="449"/>
      <c r="F1" s="449"/>
    </row>
    <row r="2" spans="1:9" ht="30" x14ac:dyDescent="0.25">
      <c r="A2" s="448" t="s">
        <v>376</v>
      </c>
      <c r="B2" s="448"/>
      <c r="C2" s="320"/>
      <c r="D2" s="320"/>
      <c r="E2" s="447" t="s">
        <v>375</v>
      </c>
      <c r="F2" s="447"/>
      <c r="H2" s="299" t="s">
        <v>340</v>
      </c>
      <c r="I2" s="215" t="s">
        <v>341</v>
      </c>
    </row>
    <row r="3" spans="1:9" x14ac:dyDescent="0.25">
      <c r="A3" s="299" t="s">
        <v>338</v>
      </c>
      <c r="B3" t="s">
        <v>332</v>
      </c>
      <c r="C3" t="s">
        <v>282</v>
      </c>
      <c r="D3" s="295"/>
      <c r="E3" s="299" t="s">
        <v>338</v>
      </c>
      <c r="F3" s="2" t="s">
        <v>375</v>
      </c>
      <c r="H3" s="227" t="s">
        <v>5</v>
      </c>
      <c r="I3" s="48">
        <v>43</v>
      </c>
    </row>
    <row r="4" spans="1:9" x14ac:dyDescent="0.25">
      <c r="A4" s="227" t="s">
        <v>322</v>
      </c>
      <c r="B4" s="296">
        <v>34865</v>
      </c>
      <c r="C4" s="296">
        <v>34620</v>
      </c>
      <c r="D4" s="296"/>
      <c r="E4" s="227" t="s">
        <v>322</v>
      </c>
      <c r="F4" s="2">
        <v>14</v>
      </c>
      <c r="H4" s="227" t="s">
        <v>5</v>
      </c>
      <c r="I4" s="48">
        <v>30</v>
      </c>
    </row>
    <row r="5" spans="1:9" x14ac:dyDescent="0.25">
      <c r="A5" s="227" t="s">
        <v>323</v>
      </c>
      <c r="B5" s="296">
        <v>20068.75</v>
      </c>
      <c r="C5" s="296">
        <v>14305.42</v>
      </c>
      <c r="D5" s="296"/>
      <c r="E5" s="227" t="s">
        <v>323</v>
      </c>
      <c r="F5" s="2">
        <v>10</v>
      </c>
      <c r="H5" s="227" t="s">
        <v>15</v>
      </c>
      <c r="I5" s="48">
        <v>13</v>
      </c>
    </row>
    <row r="6" spans="1:9" x14ac:dyDescent="0.25">
      <c r="A6" s="227" t="s">
        <v>324</v>
      </c>
      <c r="B6" s="296">
        <v>1425</v>
      </c>
      <c r="C6" s="296">
        <v>1425</v>
      </c>
      <c r="D6" s="296"/>
      <c r="E6" s="227" t="s">
        <v>324</v>
      </c>
      <c r="F6" s="2">
        <v>6</v>
      </c>
      <c r="H6" s="227" t="s">
        <v>271</v>
      </c>
      <c r="I6" s="48">
        <v>1</v>
      </c>
    </row>
    <row r="7" spans="1:9" x14ac:dyDescent="0.25">
      <c r="A7" s="227" t="s">
        <v>325</v>
      </c>
      <c r="B7" s="296">
        <v>4607.5</v>
      </c>
      <c r="C7" s="296">
        <v>4417.5</v>
      </c>
      <c r="D7" s="296"/>
      <c r="E7" s="227" t="s">
        <v>325</v>
      </c>
      <c r="F7" s="2">
        <v>8</v>
      </c>
      <c r="H7" s="227" t="s">
        <v>271</v>
      </c>
      <c r="I7" s="48">
        <v>1</v>
      </c>
    </row>
    <row r="8" spans="1:9" x14ac:dyDescent="0.25">
      <c r="A8" s="227" t="s">
        <v>326</v>
      </c>
      <c r="B8" s="296">
        <v>712.5</v>
      </c>
      <c r="C8" s="296">
        <v>712.5</v>
      </c>
      <c r="D8" s="296"/>
      <c r="E8" s="227" t="s">
        <v>326</v>
      </c>
      <c r="F8" s="2">
        <v>2</v>
      </c>
      <c r="H8" s="227" t="s">
        <v>15</v>
      </c>
      <c r="I8" s="48">
        <v>30</v>
      </c>
    </row>
    <row r="9" spans="1:9" x14ac:dyDescent="0.25">
      <c r="A9" s="227" t="s">
        <v>333</v>
      </c>
      <c r="B9" s="296">
        <v>61678.75</v>
      </c>
      <c r="C9" s="296">
        <v>55480.42</v>
      </c>
      <c r="D9" s="296"/>
      <c r="E9" s="227" t="s">
        <v>411</v>
      </c>
      <c r="F9" s="2">
        <v>40</v>
      </c>
      <c r="H9" s="227" t="s">
        <v>15</v>
      </c>
      <c r="I9" s="48">
        <v>30</v>
      </c>
    </row>
    <row r="10" spans="1:9" x14ac:dyDescent="0.25">
      <c r="B10" s="296"/>
      <c r="C10" s="296"/>
      <c r="D10" s="296"/>
      <c r="E10" s="296"/>
      <c r="H10" s="227" t="s">
        <v>408</v>
      </c>
      <c r="I10" s="48">
        <v>3</v>
      </c>
    </row>
    <row r="11" spans="1:9" x14ac:dyDescent="0.25">
      <c r="B11" s="296"/>
      <c r="C11" s="296"/>
      <c r="D11" s="296"/>
      <c r="E11" s="296"/>
      <c r="H11" s="324" t="s">
        <v>409</v>
      </c>
      <c r="I11" s="48">
        <v>3</v>
      </c>
    </row>
    <row r="12" spans="1:9" x14ac:dyDescent="0.25">
      <c r="A12" s="299" t="s">
        <v>339</v>
      </c>
      <c r="B12" t="s">
        <v>332</v>
      </c>
      <c r="C12" t="s">
        <v>282</v>
      </c>
      <c r="D12" s="295"/>
      <c r="E12" s="299" t="s">
        <v>339</v>
      </c>
      <c r="F12" s="316" t="s">
        <v>374</v>
      </c>
      <c r="H12" s="227" t="s">
        <v>272</v>
      </c>
      <c r="I12" s="48">
        <v>77</v>
      </c>
    </row>
    <row r="13" spans="1:9" x14ac:dyDescent="0.25">
      <c r="A13" s="227" t="s">
        <v>327</v>
      </c>
      <c r="B13" s="296">
        <v>19546.25</v>
      </c>
      <c r="C13" s="296">
        <v>0</v>
      </c>
      <c r="D13" s="296"/>
      <c r="E13" s="227" t="s">
        <v>327</v>
      </c>
      <c r="F13" s="315">
        <v>9</v>
      </c>
      <c r="I13"/>
    </row>
    <row r="14" spans="1:9" x14ac:dyDescent="0.25">
      <c r="A14" s="227" t="s">
        <v>328</v>
      </c>
      <c r="B14" s="296">
        <v>24290</v>
      </c>
      <c r="C14" s="296">
        <v>0</v>
      </c>
      <c r="D14" s="296"/>
      <c r="E14" s="227" t="s">
        <v>328</v>
      </c>
      <c r="F14" s="315">
        <v>14</v>
      </c>
      <c r="I14"/>
    </row>
    <row r="15" spans="1:9" x14ac:dyDescent="0.25">
      <c r="A15" s="227" t="s">
        <v>329</v>
      </c>
      <c r="B15" s="296">
        <v>855</v>
      </c>
      <c r="C15" s="296">
        <v>0</v>
      </c>
      <c r="D15" s="296"/>
      <c r="E15" s="227" t="s">
        <v>329</v>
      </c>
      <c r="F15" s="315">
        <v>4</v>
      </c>
    </row>
    <row r="16" spans="1:9" x14ac:dyDescent="0.25">
      <c r="A16" s="227" t="s">
        <v>330</v>
      </c>
      <c r="B16" s="296">
        <v>2517.5</v>
      </c>
      <c r="C16" s="296">
        <v>0</v>
      </c>
      <c r="D16" s="296"/>
      <c r="E16" s="227" t="s">
        <v>330</v>
      </c>
      <c r="F16" s="315">
        <v>6</v>
      </c>
    </row>
    <row r="17" spans="1:6" x14ac:dyDescent="0.25">
      <c r="A17" s="302" t="s">
        <v>345</v>
      </c>
      <c r="B17" s="296">
        <v>1710</v>
      </c>
      <c r="C17" s="296">
        <v>0</v>
      </c>
      <c r="D17" s="296"/>
      <c r="E17" s="302" t="s">
        <v>345</v>
      </c>
      <c r="F17" s="315">
        <v>3</v>
      </c>
    </row>
    <row r="18" spans="1:6" x14ac:dyDescent="0.25">
      <c r="A18" s="227" t="s">
        <v>331</v>
      </c>
      <c r="B18" s="296">
        <v>0</v>
      </c>
      <c r="C18" s="296">
        <v>0</v>
      </c>
      <c r="D18" s="296"/>
      <c r="E18" s="227" t="s">
        <v>331</v>
      </c>
      <c r="F18" s="315">
        <v>1</v>
      </c>
    </row>
    <row r="19" spans="1:6" x14ac:dyDescent="0.25">
      <c r="A19" s="227" t="s">
        <v>334</v>
      </c>
      <c r="B19" s="296">
        <v>48918.75</v>
      </c>
      <c r="C19" s="296">
        <v>0</v>
      </c>
      <c r="D19" s="296"/>
      <c r="E19" s="227" t="s">
        <v>13</v>
      </c>
      <c r="F19" s="315">
        <v>37</v>
      </c>
    </row>
    <row r="20" spans="1:6" ht="15.75" x14ac:dyDescent="0.25">
      <c r="A20" s="300" t="s">
        <v>335</v>
      </c>
      <c r="B20" s="297">
        <f>GETPIVOTDATA("Valor Previsto",$A$3)+GETPIVOTDATA("Valor Previsto",$A$12)</f>
        <v>110597.5</v>
      </c>
      <c r="C20" s="318"/>
      <c r="D20" s="318"/>
      <c r="E20" s="297"/>
      <c r="F20" s="317">
        <f>GETPIVOTDATA("Curso",$E$3)+GETPIVOTDATA("Curso",$E$12)</f>
        <v>77</v>
      </c>
    </row>
    <row r="21" spans="1:6" x14ac:dyDescent="0.25">
      <c r="B21" s="296"/>
      <c r="C21" s="296"/>
      <c r="D21" s="296"/>
      <c r="E21" s="296"/>
    </row>
    <row r="22" spans="1:6" ht="31.5" x14ac:dyDescent="0.25">
      <c r="A22" s="300" t="s">
        <v>336</v>
      </c>
      <c r="B22" s="321">
        <v>120000</v>
      </c>
      <c r="C22" s="318"/>
      <c r="D22" s="318"/>
      <c r="E22" s="318"/>
    </row>
    <row r="23" spans="1:6" x14ac:dyDescent="0.25">
      <c r="B23" s="319"/>
      <c r="C23" s="296"/>
      <c r="D23" s="296"/>
      <c r="E23" s="296"/>
    </row>
    <row r="24" spans="1:6" ht="31.5" x14ac:dyDescent="0.25">
      <c r="A24" s="322" t="s">
        <v>337</v>
      </c>
      <c r="B24" s="321">
        <f>B22-B20</f>
        <v>9402.5</v>
      </c>
      <c r="C24" s="318"/>
      <c r="D24" s="318"/>
      <c r="E24" s="318"/>
    </row>
    <row r="25" spans="1:6" x14ac:dyDescent="0.25">
      <c r="B25" s="296"/>
      <c r="C25" s="296"/>
      <c r="D25" s="296"/>
      <c r="E25" s="296"/>
    </row>
    <row r="27" spans="1:6" x14ac:dyDescent="0.25">
      <c r="C27" s="316"/>
      <c r="D27" s="316"/>
      <c r="E27" s="316"/>
    </row>
    <row r="28" spans="1:6" x14ac:dyDescent="0.25">
      <c r="C28" s="315"/>
      <c r="D28" s="315"/>
      <c r="E28" s="315"/>
    </row>
    <row r="29" spans="1:6" x14ac:dyDescent="0.25">
      <c r="C29" s="315"/>
      <c r="D29" s="315"/>
      <c r="E29" s="315"/>
    </row>
    <row r="30" spans="1:6" x14ac:dyDescent="0.25">
      <c r="C30" s="315"/>
      <c r="D30" s="315"/>
      <c r="E30" s="315"/>
    </row>
    <row r="31" spans="1:6" x14ac:dyDescent="0.25">
      <c r="C31" s="315"/>
      <c r="D31" s="315"/>
      <c r="E31" s="315"/>
    </row>
    <row r="32" spans="1:6" x14ac:dyDescent="0.25">
      <c r="C32" s="315"/>
      <c r="D32" s="315"/>
      <c r="E32" s="315"/>
    </row>
    <row r="33" spans="2:5" x14ac:dyDescent="0.25">
      <c r="C33" s="315"/>
      <c r="D33" s="315"/>
      <c r="E33" s="315"/>
    </row>
    <row r="34" spans="2:5" x14ac:dyDescent="0.25">
      <c r="C34" s="315"/>
      <c r="D34" s="315"/>
      <c r="E34" s="315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</sheetData>
  <mergeCells count="3">
    <mergeCell ref="E2:F2"/>
    <mergeCell ref="A2:B2"/>
    <mergeCell ref="A1:F1"/>
  </mergeCells>
  <printOptions horizontalCentered="1"/>
  <pageMargins left="0.51181102362204722" right="0.51181102362204722" top="0.78740157480314965" bottom="0.78740157480314965" header="0.31496062992125984" footer="0.31496062992125984"/>
  <pageSetup paperSize="9" orientation="portrait" verticalDpi="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63723-0C48-4E39-ADB0-2F2F13580BBB}">
  <sheetPr codeName="Planilha1">
    <pageSetUpPr fitToPage="1"/>
  </sheetPr>
  <dimension ref="A1:AG92"/>
  <sheetViews>
    <sheetView showGridLines="0" tabSelected="1" topLeftCell="H1" zoomScaleNormal="100" workbookViewId="0">
      <selection activeCell="AF2" sqref="AF2"/>
    </sheetView>
  </sheetViews>
  <sheetFormatPr defaultRowHeight="15" x14ac:dyDescent="0.25"/>
  <cols>
    <col min="1" max="1" width="18.28515625" style="209" bestFit="1" customWidth="1"/>
    <col min="2" max="2" width="27.42578125" style="209" customWidth="1"/>
    <col min="3" max="3" width="7.5703125" style="360" customWidth="1"/>
    <col min="4" max="4" width="9.42578125" style="360" customWidth="1"/>
    <col min="5" max="5" width="18.85546875" style="209" customWidth="1"/>
    <col min="6" max="7" width="17" style="209" customWidth="1"/>
    <col min="8" max="8" width="8.28515625" style="369" customWidth="1"/>
    <col min="9" max="9" width="4.5703125" style="370" customWidth="1"/>
    <col min="10" max="13" width="4.5703125" style="369" customWidth="1"/>
    <col min="14" max="14" width="4.5703125" style="369" hidden="1" customWidth="1"/>
    <col min="15" max="15" width="8.5703125" style="369" customWidth="1"/>
    <col min="16" max="16" width="7.42578125" style="369" customWidth="1"/>
    <col min="17" max="17" width="7.85546875" style="369" customWidth="1"/>
    <col min="18" max="18" width="4.5703125" style="369" customWidth="1"/>
    <col min="19" max="19" width="7.28515625" style="371" customWidth="1"/>
    <col min="20" max="20" width="6.5703125" style="369" customWidth="1"/>
    <col min="21" max="21" width="7.85546875" style="369" customWidth="1"/>
    <col min="22" max="22" width="9.42578125" style="369" customWidth="1"/>
    <col min="23" max="23" width="10.42578125" style="369" customWidth="1"/>
    <col min="24" max="24" width="22.5703125" style="372" customWidth="1"/>
    <col min="25" max="25" width="19.140625" style="373" customWidth="1"/>
    <col min="26" max="26" width="18.28515625" style="373" customWidth="1"/>
    <col min="27" max="27" width="17.85546875" style="374" customWidth="1"/>
    <col min="28" max="28" width="16" style="373" customWidth="1"/>
    <col min="29" max="29" width="14.140625" style="372" customWidth="1"/>
    <col min="30" max="30" width="14.85546875" style="373" customWidth="1"/>
    <col min="31" max="31" width="12.85546875" style="360" customWidth="1"/>
    <col min="32" max="32" width="15.5703125" style="209" customWidth="1"/>
    <col min="34" max="34" width="13.28515625" bestFit="1" customWidth="1"/>
  </cols>
  <sheetData>
    <row r="1" spans="1:33" s="380" customFormat="1" ht="29.25" customHeight="1" x14ac:dyDescent="0.25">
      <c r="A1" s="375" t="s">
        <v>93</v>
      </c>
      <c r="B1" s="375" t="s">
        <v>2</v>
      </c>
      <c r="C1" s="376" t="s">
        <v>85</v>
      </c>
      <c r="D1" s="376" t="s">
        <v>227</v>
      </c>
      <c r="E1" s="375" t="s">
        <v>80</v>
      </c>
      <c r="F1" s="375" t="s">
        <v>81</v>
      </c>
      <c r="G1" s="375" t="s">
        <v>22</v>
      </c>
      <c r="H1" s="19" t="s">
        <v>1</v>
      </c>
      <c r="I1" s="19" t="s">
        <v>16</v>
      </c>
      <c r="J1" s="19" t="s">
        <v>17</v>
      </c>
      <c r="K1" s="19" t="s">
        <v>18</v>
      </c>
      <c r="L1" s="19" t="s">
        <v>19</v>
      </c>
      <c r="M1" s="19" t="s">
        <v>20</v>
      </c>
      <c r="N1" s="330" t="s">
        <v>99</v>
      </c>
      <c r="O1" s="19" t="s">
        <v>10</v>
      </c>
      <c r="P1" s="19" t="s">
        <v>11</v>
      </c>
      <c r="Q1" s="19" t="s">
        <v>7</v>
      </c>
      <c r="R1" s="129" t="s">
        <v>8</v>
      </c>
      <c r="S1" s="20" t="s">
        <v>0</v>
      </c>
      <c r="T1" s="20" t="s">
        <v>9</v>
      </c>
      <c r="U1" s="376" t="s">
        <v>3</v>
      </c>
      <c r="V1" s="376" t="s">
        <v>97</v>
      </c>
      <c r="W1" s="377" t="s">
        <v>12</v>
      </c>
      <c r="X1" s="377" t="s">
        <v>72</v>
      </c>
      <c r="Y1" s="377" t="s">
        <v>210</v>
      </c>
      <c r="Z1" s="377" t="s">
        <v>247</v>
      </c>
      <c r="AA1" s="377" t="s">
        <v>248</v>
      </c>
      <c r="AB1" s="377" t="s">
        <v>262</v>
      </c>
      <c r="AC1" s="376" t="s">
        <v>4</v>
      </c>
      <c r="AD1" s="378" t="s">
        <v>14</v>
      </c>
      <c r="AE1" s="420" t="s">
        <v>407</v>
      </c>
      <c r="AF1" s="379" t="s">
        <v>415</v>
      </c>
      <c r="AG1" s="396" t="s">
        <v>352</v>
      </c>
    </row>
    <row r="2" spans="1:33" ht="30" customHeight="1" x14ac:dyDescent="0.25">
      <c r="A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PetFou_T1</v>
      </c>
      <c r="B2" s="207" t="s">
        <v>225</v>
      </c>
      <c r="C2" s="202" t="s">
        <v>137</v>
      </c>
      <c r="D2" s="202" t="s">
        <v>229</v>
      </c>
      <c r="E2" s="207" t="s">
        <v>213</v>
      </c>
      <c r="F2" s="207" t="s">
        <v>398</v>
      </c>
      <c r="G2" s="207" t="s">
        <v>226</v>
      </c>
      <c r="H2" s="203">
        <v>0.83333333333333337</v>
      </c>
      <c r="I2" s="203" t="s">
        <v>100</v>
      </c>
      <c r="J2" s="203" t="s">
        <v>100</v>
      </c>
      <c r="K2" s="203" t="s">
        <v>100</v>
      </c>
      <c r="L2" s="203" t="s">
        <v>100</v>
      </c>
      <c r="M2" s="203" t="s">
        <v>100</v>
      </c>
      <c r="N2" s="203" t="str">
        <f t="shared" ref="N2:N33" si="0">IF(I2="X","0","1")&amp;IF(J2="X","0","1")&amp;IF(K2="X","0","1")&amp;IF(L2="X","0","1")&amp;IF(M2="X","0","1")&amp;"11"</f>
        <v>0000011</v>
      </c>
      <c r="O2" s="203">
        <v>0.33333333333333331</v>
      </c>
      <c r="P2" s="203">
        <v>0.5</v>
      </c>
      <c r="Q2" s="203">
        <f>Planejamento2025[[#This Row],[Saída]]-Planejamento2025[[#This Row],[Entrada]]</f>
        <v>0.16666666666666669</v>
      </c>
      <c r="R2" s="331">
        <f>Planejamento2025[[#This Row],[Carga Horária]]/Q2</f>
        <v>5</v>
      </c>
      <c r="S2" s="204">
        <v>45698</v>
      </c>
      <c r="T2" s="204">
        <v>45702</v>
      </c>
      <c r="U2" s="332" t="s">
        <v>198</v>
      </c>
      <c r="V2" s="333">
        <v>16</v>
      </c>
      <c r="W2" s="334">
        <v>0</v>
      </c>
      <c r="X2" s="335" t="str">
        <f>IF(Planejamento2025[[#This Row],[Fonte Pagadora]]="Anna de Moura",(W2*H2*24),"R$ 0,00")</f>
        <v>R$ 0,00</v>
      </c>
      <c r="Y2" s="335">
        <v>0</v>
      </c>
      <c r="Z2" s="335" t="e">
        <f>INDEX(Tabela1[Valor RH / Executado],MATCH(Planejamento2025[[#This Row],[ID]],Tabela1[ID],0))</f>
        <v>#N/A</v>
      </c>
      <c r="AA2" s="292" t="e">
        <f>INDEX(Tabela1[Valor Insumo / Executado],MATCH(Planejamento2025[[#This Row],[ID]],Tabela1[ID],0))</f>
        <v>#N/A</v>
      </c>
      <c r="AB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" s="332" t="s">
        <v>15</v>
      </c>
      <c r="AD2" s="332" t="s">
        <v>15</v>
      </c>
      <c r="AE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" s="423"/>
      <c r="AG2" s="336"/>
    </row>
    <row r="3" spans="1:33" s="206" customFormat="1" ht="30" customHeight="1" x14ac:dyDescent="0.25">
      <c r="A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AuxAdm_T1</v>
      </c>
      <c r="B3" s="207" t="s">
        <v>77</v>
      </c>
      <c r="C3" s="202" t="s">
        <v>137</v>
      </c>
      <c r="D3" s="202" t="s">
        <v>228</v>
      </c>
      <c r="E3" s="207" t="s">
        <v>76</v>
      </c>
      <c r="F3" s="207" t="s">
        <v>400</v>
      </c>
      <c r="G3" s="207" t="s">
        <v>185</v>
      </c>
      <c r="H3" s="203">
        <v>6.666666666666667</v>
      </c>
      <c r="I3" s="203"/>
      <c r="J3" s="203" t="s">
        <v>100</v>
      </c>
      <c r="K3" s="203" t="s">
        <v>100</v>
      </c>
      <c r="L3" s="203" t="s">
        <v>100</v>
      </c>
      <c r="M3" s="203"/>
      <c r="N3" s="174" t="str">
        <f t="shared" si="0"/>
        <v>1000111</v>
      </c>
      <c r="O3" s="203">
        <v>0.79166666666666663</v>
      </c>
      <c r="P3" s="203">
        <v>0.91666666666666663</v>
      </c>
      <c r="Q3" s="203">
        <f>Planejamento2025[[#This Row],[Saída]]-Planejamento2025[[#This Row],[Entrada]]</f>
        <v>0.125</v>
      </c>
      <c r="R3" s="331">
        <f>Planejamento2025[[#This Row],[Carga Horária]]/Q3</f>
        <v>53.333333333333336</v>
      </c>
      <c r="S3" s="204">
        <v>45699</v>
      </c>
      <c r="T3" s="204">
        <f>WORKDAY.INTL(S3,R3,Planejamento2025[[#This Row],[Padrão]],Calendário!$R$4:$R$35)</f>
        <v>45832</v>
      </c>
      <c r="U3" s="332" t="s">
        <v>199</v>
      </c>
      <c r="V3" s="333">
        <v>32</v>
      </c>
      <c r="W3" s="334">
        <v>47.5</v>
      </c>
      <c r="X3" s="335">
        <f>IF(Planejamento2025[[#This Row],[Fonte Pagadora]]="Anna de Moura",(W3*H3*24),"R$ 0,00")</f>
        <v>7600</v>
      </c>
      <c r="Y3" s="335">
        <v>0</v>
      </c>
      <c r="Z3" s="335">
        <f>INDEX(Tabela1[Valor RH / Executado],MATCH(Planejamento2025[[#This Row],[ID]],Tabela1[ID],0))</f>
        <v>7552.5</v>
      </c>
      <c r="AA3" s="334">
        <f>INDEX(Tabela1[Valor Insumo / Executado],MATCH(Planejamento2025[[#This Row],[ID]],Tabela1[ID],0))</f>
        <v>0</v>
      </c>
      <c r="AB3" s="334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" s="332" t="s">
        <v>5</v>
      </c>
      <c r="AD3" s="332" t="s">
        <v>15</v>
      </c>
      <c r="AE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3" s="423"/>
      <c r="AG3" s="336"/>
    </row>
    <row r="4" spans="1:33" s="206" customFormat="1" ht="30" customHeight="1" x14ac:dyDescent="0.25">
      <c r="A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LidGes_T1</v>
      </c>
      <c r="B4" s="207" t="s">
        <v>94</v>
      </c>
      <c r="C4" s="202" t="s">
        <v>137</v>
      </c>
      <c r="D4" s="202" t="s">
        <v>228</v>
      </c>
      <c r="E4" s="207" t="s">
        <v>76</v>
      </c>
      <c r="F4" s="207" t="s">
        <v>397</v>
      </c>
      <c r="G4" s="207" t="s">
        <v>184</v>
      </c>
      <c r="H4" s="203">
        <v>6.666666666666667</v>
      </c>
      <c r="I4" s="203"/>
      <c r="J4" s="203" t="s">
        <v>100</v>
      </c>
      <c r="K4" s="203" t="s">
        <v>100</v>
      </c>
      <c r="L4" s="203" t="s">
        <v>100</v>
      </c>
      <c r="M4" s="203"/>
      <c r="N4" s="174" t="str">
        <f t="shared" si="0"/>
        <v>1000111</v>
      </c>
      <c r="O4" s="203">
        <v>0.79166666666666663</v>
      </c>
      <c r="P4" s="203">
        <v>0.91666666666666663</v>
      </c>
      <c r="Q4" s="203">
        <f>Planejamento2025[[#This Row],[Saída]]-Planejamento2025[[#This Row],[Entrada]]</f>
        <v>0.125</v>
      </c>
      <c r="R4" s="331">
        <f>Planejamento2025[[#This Row],[Carga Horária]]/Q4</f>
        <v>53.333333333333336</v>
      </c>
      <c r="S4" s="204">
        <v>45699</v>
      </c>
      <c r="T4" s="204">
        <v>45833</v>
      </c>
      <c r="U4" s="332" t="s">
        <v>198</v>
      </c>
      <c r="V4" s="333">
        <v>32</v>
      </c>
      <c r="W4" s="334">
        <v>47.5</v>
      </c>
      <c r="X4" s="335">
        <f>IF(Planejamento2025[[#This Row],[Fonte Pagadora]]="Anna de Moura",(W4*H4*24),"R$ 0,00")</f>
        <v>7600</v>
      </c>
      <c r="Y4" s="335">
        <v>0</v>
      </c>
      <c r="Z4" s="335">
        <f>INDEX(Tabela1[Valor RH / Executado],MATCH(Planejamento2025[[#This Row],[ID]],Tabela1[ID],0))</f>
        <v>7552.5</v>
      </c>
      <c r="AA4" s="292">
        <f>INDEX(Tabela1[Valor Insumo / Executado],MATCH(Planejamento2025[[#This Row],[ID]],Tabela1[ID],0))</f>
        <v>0</v>
      </c>
      <c r="AB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" s="332" t="s">
        <v>5</v>
      </c>
      <c r="AD4" s="332" t="s">
        <v>15</v>
      </c>
      <c r="AE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4" s="423"/>
      <c r="AG4" s="336"/>
    </row>
    <row r="5" spans="1:33" s="206" customFormat="1" ht="30" customHeight="1" x14ac:dyDescent="0.25">
      <c r="A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SorArt_T1</v>
      </c>
      <c r="B5" s="207" t="s">
        <v>212</v>
      </c>
      <c r="C5" s="202" t="s">
        <v>137</v>
      </c>
      <c r="D5" s="202" t="s">
        <v>228</v>
      </c>
      <c r="E5" s="207" t="s">
        <v>213</v>
      </c>
      <c r="F5" s="207" t="s">
        <v>402</v>
      </c>
      <c r="G5" s="207" t="s">
        <v>186</v>
      </c>
      <c r="H5" s="203">
        <v>0.75</v>
      </c>
      <c r="I5" s="203"/>
      <c r="J5" s="203" t="s">
        <v>100</v>
      </c>
      <c r="K5" s="203" t="s">
        <v>100</v>
      </c>
      <c r="L5" s="203"/>
      <c r="M5" s="203"/>
      <c r="N5" s="203" t="str">
        <f t="shared" si="0"/>
        <v>1001111</v>
      </c>
      <c r="O5" s="203">
        <v>0.79166666666666663</v>
      </c>
      <c r="P5" s="203">
        <v>0.91666666666666663</v>
      </c>
      <c r="Q5" s="203">
        <f>Planejamento2025[[#This Row],[Saída]]-Planejamento2025[[#This Row],[Entrada]]</f>
        <v>0.125</v>
      </c>
      <c r="R5" s="331">
        <f>Planejamento2025[[#This Row],[Carga Horária]]/Q5</f>
        <v>6</v>
      </c>
      <c r="S5" s="204">
        <v>45699</v>
      </c>
      <c r="T5" s="204">
        <v>45714</v>
      </c>
      <c r="U5" s="332" t="s">
        <v>198</v>
      </c>
      <c r="V5" s="333">
        <v>18</v>
      </c>
      <c r="W5" s="334">
        <v>47.5</v>
      </c>
      <c r="X5" s="335">
        <f>IF(Planejamento2025[[#This Row],[Fonte Pagadora]]="Anna de Moura",(W5*H5*24),"R$ 0,00")</f>
        <v>855</v>
      </c>
      <c r="Y5" s="335">
        <f>18*30</f>
        <v>540</v>
      </c>
      <c r="Z5" s="335">
        <f>INDEX(Tabela1[Valor RH / Executado],MATCH(Planejamento2025[[#This Row],[ID]],Tabela1[ID],0))</f>
        <v>855</v>
      </c>
      <c r="AA5" s="292">
        <f>INDEX(Tabela1[Valor Insumo / Executado],MATCH(Planejamento2025[[#This Row],[ID]],Tabela1[ID],0))</f>
        <v>244.77</v>
      </c>
      <c r="AB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5" s="332" t="s">
        <v>5</v>
      </c>
      <c r="AD5" s="332" t="s">
        <v>5</v>
      </c>
      <c r="AE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" s="423"/>
      <c r="AG5" s="336"/>
    </row>
    <row r="6" spans="1:33" s="206" customFormat="1" ht="30" customHeight="1" x14ac:dyDescent="0.25">
      <c r="A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PacOff_T1</v>
      </c>
      <c r="B6" s="207" t="s">
        <v>78</v>
      </c>
      <c r="C6" s="202" t="s">
        <v>137</v>
      </c>
      <c r="D6" s="202" t="s">
        <v>228</v>
      </c>
      <c r="E6" s="207" t="s">
        <v>74</v>
      </c>
      <c r="F6" s="207" t="s">
        <v>397</v>
      </c>
      <c r="G6" s="207" t="s">
        <v>188</v>
      </c>
      <c r="H6" s="203">
        <v>4</v>
      </c>
      <c r="I6" s="203"/>
      <c r="J6" s="203" t="s">
        <v>139</v>
      </c>
      <c r="K6" s="203" t="s">
        <v>139</v>
      </c>
      <c r="L6" s="203" t="s">
        <v>139</v>
      </c>
      <c r="M6" s="203"/>
      <c r="N6" s="174" t="str">
        <f t="shared" si="0"/>
        <v>1000111</v>
      </c>
      <c r="O6" s="203">
        <v>0.79166666666666663</v>
      </c>
      <c r="P6" s="203">
        <v>0.91666666666666663</v>
      </c>
      <c r="Q6" s="203">
        <f>Planejamento2025[[#This Row],[Saída]]-Planejamento2025[[#This Row],[Entrada]]</f>
        <v>0.125</v>
      </c>
      <c r="R6" s="331">
        <f>Planejamento2025[[#This Row],[Carga Horária]]/Q6</f>
        <v>32</v>
      </c>
      <c r="S6" s="204">
        <v>45699</v>
      </c>
      <c r="T6" s="204">
        <v>45783</v>
      </c>
      <c r="U6" s="332" t="s">
        <v>198</v>
      </c>
      <c r="V6" s="333">
        <v>16</v>
      </c>
      <c r="W6" s="334">
        <v>47.5</v>
      </c>
      <c r="X6" s="335">
        <f>IF(Planejamento2025[[#This Row],[Fonte Pagadora]]="Anna de Moura",(W6*H6*24),"R$ 0,00")</f>
        <v>4560</v>
      </c>
      <c r="Y6" s="335">
        <v>0</v>
      </c>
      <c r="Z6" s="335">
        <f>INDEX(Tabela1[Valor RH / Executado],MATCH(Planejamento2025[[#This Row],[ID]],Tabela1[ID],0))</f>
        <v>4560</v>
      </c>
      <c r="AA6" s="292">
        <f>INDEX(Tabela1[Valor Insumo / Executado],MATCH(Planejamento2025[[#This Row],[ID]],Tabela1[ID],0))</f>
        <v>0</v>
      </c>
      <c r="AB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6" s="332" t="s">
        <v>5</v>
      </c>
      <c r="AD6" s="332" t="s">
        <v>15</v>
      </c>
      <c r="AE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6" s="423"/>
      <c r="AG6" s="336"/>
    </row>
    <row r="7" spans="1:33" s="206" customFormat="1" ht="30" customHeight="1" x14ac:dyDescent="0.25">
      <c r="A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InfBás_T1</v>
      </c>
      <c r="B7" s="207" t="s">
        <v>79</v>
      </c>
      <c r="C7" s="202" t="s">
        <v>137</v>
      </c>
      <c r="D7" s="202" t="s">
        <v>228</v>
      </c>
      <c r="E7" s="207" t="s">
        <v>74</v>
      </c>
      <c r="F7" s="207" t="s">
        <v>401</v>
      </c>
      <c r="G7" s="207" t="s">
        <v>190</v>
      </c>
      <c r="H7" s="203">
        <v>2.5</v>
      </c>
      <c r="I7" s="203"/>
      <c r="J7" s="203" t="s">
        <v>100</v>
      </c>
      <c r="K7" s="203" t="s">
        <v>100</v>
      </c>
      <c r="L7" s="203"/>
      <c r="M7" s="203"/>
      <c r="N7" s="174" t="str">
        <f t="shared" si="0"/>
        <v>1001111</v>
      </c>
      <c r="O7" s="203">
        <v>0.79166666666666663</v>
      </c>
      <c r="P7" s="203">
        <v>0.91666666666666663</v>
      </c>
      <c r="Q7" s="203">
        <f>Planejamento2025[[#This Row],[Saída]]-Planejamento2025[[#This Row],[Entrada]]</f>
        <v>0.125</v>
      </c>
      <c r="R7" s="331">
        <f>Planejamento2025[[#This Row],[Carga Horária]]/Q7</f>
        <v>20</v>
      </c>
      <c r="S7" s="204">
        <v>45699</v>
      </c>
      <c r="T7" s="204">
        <f>WORKDAY.INTL(S7,R7,Planejamento2025[[#This Row],[Padrão]],Calendário!$R$4:$R$35)</f>
        <v>45770</v>
      </c>
      <c r="U7" s="332" t="s">
        <v>198</v>
      </c>
      <c r="V7" s="333">
        <v>14</v>
      </c>
      <c r="W7" s="334">
        <v>47.5</v>
      </c>
      <c r="X7" s="335">
        <f>IF(Planejamento2025[[#This Row],[Fonte Pagadora]]="Anna de Moura",(W7*H7*24),"R$ 0,00")</f>
        <v>2850</v>
      </c>
      <c r="Y7" s="335">
        <v>0</v>
      </c>
      <c r="Z7" s="335">
        <f>INDEX(Tabela1[Valor RH / Executado],MATCH(Planejamento2025[[#This Row],[ID]],Tabela1[ID],0))</f>
        <v>2850</v>
      </c>
      <c r="AA7" s="292">
        <f>INDEX(Tabela1[Valor Insumo / Executado],MATCH(Planejamento2025[[#This Row],[ID]],Tabela1[ID],0))</f>
        <v>0</v>
      </c>
      <c r="AB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7" s="332" t="s">
        <v>5</v>
      </c>
      <c r="AD7" s="332" t="s">
        <v>15</v>
      </c>
      <c r="AE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7" s="423"/>
      <c r="AG7" s="336"/>
    </row>
    <row r="8" spans="1:33" s="206" customFormat="1" ht="30" customHeight="1" x14ac:dyDescent="0.25">
      <c r="A8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_T1</v>
      </c>
      <c r="B8" s="207" t="s">
        <v>153</v>
      </c>
      <c r="C8" s="202" t="s">
        <v>137</v>
      </c>
      <c r="D8" s="202" t="s">
        <v>228</v>
      </c>
      <c r="E8" s="207" t="s">
        <v>182</v>
      </c>
      <c r="F8" s="207" t="s">
        <v>401</v>
      </c>
      <c r="G8" s="207" t="s">
        <v>195</v>
      </c>
      <c r="H8" s="203">
        <v>3.3333333333333335</v>
      </c>
      <c r="I8" s="203"/>
      <c r="J8" s="203" t="s">
        <v>100</v>
      </c>
      <c r="K8" s="203" t="s">
        <v>100</v>
      </c>
      <c r="L8" s="203"/>
      <c r="M8" s="203"/>
      <c r="N8" s="174" t="str">
        <f t="shared" si="0"/>
        <v>1001111</v>
      </c>
      <c r="O8" s="203">
        <v>0.79166666666666663</v>
      </c>
      <c r="P8" s="203">
        <v>0.91666666666666663</v>
      </c>
      <c r="Q8" s="203">
        <f>Planejamento2025[[#This Row],[Saída]]-Planejamento2025[[#This Row],[Entrada]]</f>
        <v>0.125</v>
      </c>
      <c r="R8" s="331">
        <f>Planejamento2025[[#This Row],[Carga Horária]]/Q8</f>
        <v>26.666666666666668</v>
      </c>
      <c r="S8" s="204">
        <v>45699</v>
      </c>
      <c r="T8" s="204">
        <f>WORKDAY.INTL(S8,R8,Planejamento2025[[#This Row],[Padrão]],Calendário!$R$4:$R$35)</f>
        <v>45791</v>
      </c>
      <c r="U8" s="332" t="s">
        <v>199</v>
      </c>
      <c r="V8" s="333">
        <v>32</v>
      </c>
      <c r="W8" s="334">
        <v>47.5</v>
      </c>
      <c r="X8" s="335">
        <f>IF(Planejamento2025[[#This Row],[Fonte Pagadora]]="Anna de Moura",(W8*H8*24),"R$ 0,00")</f>
        <v>3800</v>
      </c>
      <c r="Y8" s="335">
        <v>0</v>
      </c>
      <c r="Z8" s="335">
        <f>INDEX(Tabela1[Valor RH / Executado],MATCH(Planejamento2025[[#This Row],[ID]],Tabela1[ID],0))</f>
        <v>3705</v>
      </c>
      <c r="AA8" s="292">
        <f>INDEX(Tabela1[Valor Insumo / Executado],MATCH(Planejamento2025[[#This Row],[ID]],Tabela1[ID],0))</f>
        <v>0</v>
      </c>
      <c r="AB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8" s="332" t="s">
        <v>5</v>
      </c>
      <c r="AD8" s="332" t="s">
        <v>5</v>
      </c>
      <c r="AE8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8" s="423"/>
      <c r="AG8" s="336"/>
    </row>
    <row r="9" spans="1:33" s="206" customFormat="1" ht="30" customHeight="1" x14ac:dyDescent="0.25">
      <c r="A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Gin _T1</v>
      </c>
      <c r="B9" s="207" t="s">
        <v>149</v>
      </c>
      <c r="C9" s="202" t="s">
        <v>137</v>
      </c>
      <c r="D9" s="202" t="s">
        <v>230</v>
      </c>
      <c r="E9" s="207" t="s">
        <v>179</v>
      </c>
      <c r="F9" s="207" t="s">
        <v>401</v>
      </c>
      <c r="G9" s="207" t="s">
        <v>193</v>
      </c>
      <c r="H9" s="203">
        <v>0.79166666666666663</v>
      </c>
      <c r="I9" s="203"/>
      <c r="J9" s="203"/>
      <c r="K9" s="203" t="s">
        <v>100</v>
      </c>
      <c r="L9" s="203"/>
      <c r="M9" s="203"/>
      <c r="N9" s="174" t="str">
        <f t="shared" si="0"/>
        <v>1101111</v>
      </c>
      <c r="O9" s="203">
        <v>0.70833333333333337</v>
      </c>
      <c r="P9" s="203">
        <v>0.75</v>
      </c>
      <c r="Q9" s="203">
        <f>Planejamento2025[[#This Row],[Saída]]-Planejamento2025[[#This Row],[Entrada]]</f>
        <v>4.166666666666663E-2</v>
      </c>
      <c r="R9" s="331">
        <f>Planejamento2025[[#This Row],[Carga Horária]]/Q9</f>
        <v>19.000000000000014</v>
      </c>
      <c r="S9" s="204">
        <v>45700</v>
      </c>
      <c r="T9" s="204">
        <f>WORKDAY.INTL(S9,R9,Planejamento2025[[#This Row],[Padrão]],Calendário!$R$4:$R$35)</f>
        <v>45833</v>
      </c>
      <c r="U9" s="332" t="s">
        <v>198</v>
      </c>
      <c r="V9" s="333">
        <v>30</v>
      </c>
      <c r="W9" s="334">
        <v>55</v>
      </c>
      <c r="X9" s="335">
        <f>IF(Planejamento2025[[#This Row],[Fonte Pagadora]]="Anna de Moura",(W9*H9*24),"R$ 0,00")</f>
        <v>1045</v>
      </c>
      <c r="Y9" s="335"/>
      <c r="Z9" s="335">
        <f>INDEX(Tabela1[Valor RH / Executado],MATCH(Planejamento2025[[#This Row],[ID]],Tabela1[ID],0))</f>
        <v>990</v>
      </c>
      <c r="AA9" s="292">
        <f>INDEX(Tabela1[Valor Insumo / Executado],MATCH(Planejamento2025[[#This Row],[ID]],Tabela1[ID],0))</f>
        <v>0</v>
      </c>
      <c r="AB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9" s="332" t="s">
        <v>5</v>
      </c>
      <c r="AD9" s="332" t="s">
        <v>5</v>
      </c>
      <c r="AE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9" s="423"/>
      <c r="AG9" s="336"/>
    </row>
    <row r="10" spans="1:33" s="206" customFormat="1" ht="30" customHeight="1" x14ac:dyDescent="0.25">
      <c r="A1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Tea _T1</v>
      </c>
      <c r="B10" s="207" t="s">
        <v>152</v>
      </c>
      <c r="C10" s="202" t="s">
        <v>137</v>
      </c>
      <c r="D10" s="202" t="s">
        <v>228</v>
      </c>
      <c r="E10" s="207" t="s">
        <v>181</v>
      </c>
      <c r="F10" s="207" t="s">
        <v>401</v>
      </c>
      <c r="G10" s="207" t="s">
        <v>194</v>
      </c>
      <c r="H10" s="203">
        <v>1.6666666666666667</v>
      </c>
      <c r="I10" s="203"/>
      <c r="J10" s="203"/>
      <c r="K10" s="203" t="s">
        <v>100</v>
      </c>
      <c r="L10" s="203"/>
      <c r="M10" s="203"/>
      <c r="N10" s="43" t="str">
        <f t="shared" si="0"/>
        <v>1101111</v>
      </c>
      <c r="O10" s="203">
        <v>0.79166666666666663</v>
      </c>
      <c r="P10" s="203">
        <v>0.875</v>
      </c>
      <c r="Q10" s="203">
        <f>Planejamento2025[[#This Row],[Saída]]-Planejamento2025[[#This Row],[Entrada]]</f>
        <v>8.333333333333337E-2</v>
      </c>
      <c r="R10" s="331">
        <f>Planejamento2025[[#This Row],[Carga Horária]]/Q10</f>
        <v>19.999999999999993</v>
      </c>
      <c r="S10" s="204">
        <v>45700</v>
      </c>
      <c r="T10" s="204">
        <f>WORKDAY.INTL(S10,R10,Planejamento2025[[#This Row],[Padrão]],Calendário!$R$4:$R$35)</f>
        <v>45833</v>
      </c>
      <c r="U10" s="332" t="s">
        <v>200</v>
      </c>
      <c r="V10" s="333">
        <v>25</v>
      </c>
      <c r="W10" s="334">
        <v>47.5</v>
      </c>
      <c r="X10" s="335">
        <f>IF(Planejamento2025[[#This Row],[Fonte Pagadora]]="Anna de Moura",(W10*H10*24),"R$ 0,00")</f>
        <v>1900</v>
      </c>
      <c r="Y10" s="335">
        <v>0</v>
      </c>
      <c r="Z10" s="335">
        <f>INDEX(Tabela1[Valor RH / Executado],MATCH(Planejamento2025[[#This Row],[ID]],Tabela1[ID],0))</f>
        <v>1805</v>
      </c>
      <c r="AA10" s="292">
        <f>INDEX(Tabela1[Valor Insumo / Executado],MATCH(Planejamento2025[[#This Row],[ID]],Tabela1[ID],0))</f>
        <v>0</v>
      </c>
      <c r="AB1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0" s="332" t="s">
        <v>5</v>
      </c>
      <c r="AD10" s="332" t="s">
        <v>5</v>
      </c>
      <c r="AE10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0" s="423"/>
      <c r="AG10" s="336"/>
    </row>
    <row r="11" spans="1:33" s="206" customFormat="1" ht="30" customHeight="1" x14ac:dyDescent="0.25">
      <c r="A1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InfBás_T2</v>
      </c>
      <c r="B11" s="207" t="s">
        <v>79</v>
      </c>
      <c r="C11" s="202" t="s">
        <v>138</v>
      </c>
      <c r="D11" s="202" t="s">
        <v>230</v>
      </c>
      <c r="E11" s="207" t="s">
        <v>74</v>
      </c>
      <c r="F11" s="207" t="s">
        <v>401</v>
      </c>
      <c r="G11" s="207" t="s">
        <v>189</v>
      </c>
      <c r="H11" s="203">
        <v>1.6666666666666667</v>
      </c>
      <c r="I11" s="203"/>
      <c r="J11" s="203"/>
      <c r="K11" s="203"/>
      <c r="L11" s="203" t="s">
        <v>139</v>
      </c>
      <c r="M11" s="203"/>
      <c r="N11" s="174" t="str">
        <f t="shared" si="0"/>
        <v>1110111</v>
      </c>
      <c r="O11" s="203">
        <v>0.60416666666666663</v>
      </c>
      <c r="P11" s="203">
        <v>0.70833333333333337</v>
      </c>
      <c r="Q11" s="203">
        <f>Planejamento2025[[#This Row],[Saída]]-Planejamento2025[[#This Row],[Entrada]]</f>
        <v>0.10416666666666674</v>
      </c>
      <c r="R11" s="331">
        <f>Planejamento2025[[#This Row],[Carga Horária]]/Q11</f>
        <v>15.999999999999989</v>
      </c>
      <c r="S11" s="204">
        <v>45701</v>
      </c>
      <c r="T11" s="204">
        <f>WORKDAY.INTL(S11,R11,Planejamento2025[[#This Row],[Padrão]],Calendário!$R$4:$R$35)</f>
        <v>45820</v>
      </c>
      <c r="U11" s="332" t="s">
        <v>140</v>
      </c>
      <c r="V11" s="333">
        <v>14</v>
      </c>
      <c r="W11" s="334">
        <v>0</v>
      </c>
      <c r="X11" s="335">
        <f>IF(Planejamento2025[[#This Row],[Fonte Pagadora]]="Anna de Moura",(W11*H11*24),"R$ 0,00")</f>
        <v>0</v>
      </c>
      <c r="Y11" s="335">
        <v>0</v>
      </c>
      <c r="Z11" s="335">
        <f>INDEX(Tabela1[Valor RH / Executado],MATCH(Planejamento2025[[#This Row],[ID]],Tabela1[ID],0))</f>
        <v>0</v>
      </c>
      <c r="AA11" s="292">
        <f>INDEX(Tabela1[Valor Insumo / Executado],MATCH(Planejamento2025[[#This Row],[ID]],Tabela1[ID],0))</f>
        <v>0</v>
      </c>
      <c r="AB1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1" s="332" t="s">
        <v>5</v>
      </c>
      <c r="AD11" s="332" t="s">
        <v>5</v>
      </c>
      <c r="AE11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1" s="423"/>
      <c r="AG11" s="336"/>
    </row>
    <row r="12" spans="1:33" s="206" customFormat="1" ht="30" customHeight="1" x14ac:dyDescent="0.25">
      <c r="A1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_T1</v>
      </c>
      <c r="B12" s="207" t="s">
        <v>145</v>
      </c>
      <c r="C12" s="202" t="s">
        <v>137</v>
      </c>
      <c r="D12" s="202" t="s">
        <v>230</v>
      </c>
      <c r="E12" s="207" t="s">
        <v>180</v>
      </c>
      <c r="F12" s="207" t="s">
        <v>401</v>
      </c>
      <c r="G12" s="207" t="s">
        <v>192</v>
      </c>
      <c r="H12" s="203">
        <v>1.4166666666666667</v>
      </c>
      <c r="I12" s="203"/>
      <c r="J12" s="203"/>
      <c r="K12" s="203"/>
      <c r="L12" s="203" t="s">
        <v>100</v>
      </c>
      <c r="M12" s="203"/>
      <c r="N12" s="43" t="str">
        <f t="shared" si="0"/>
        <v>1110111</v>
      </c>
      <c r="O12" s="203">
        <v>0.66666666666666663</v>
      </c>
      <c r="P12" s="203">
        <v>0.75</v>
      </c>
      <c r="Q12" s="203">
        <f>Planejamento2025[[#This Row],[Saída]]-Planejamento2025[[#This Row],[Entrada]]</f>
        <v>8.333333333333337E-2</v>
      </c>
      <c r="R12" s="331">
        <f>Planejamento2025[[#This Row],[Carga Horária]]/Q12</f>
        <v>16.999999999999993</v>
      </c>
      <c r="S12" s="204">
        <v>45701</v>
      </c>
      <c r="T12" s="204">
        <f>WORKDAY.INTL(S12,R12,Planejamento2025[[#This Row],[Padrão]],Calendário!$R$4:$R$35)</f>
        <v>45834</v>
      </c>
      <c r="U12" s="332" t="s">
        <v>151</v>
      </c>
      <c r="V12" s="333">
        <v>25</v>
      </c>
      <c r="W12" s="334">
        <v>47.5</v>
      </c>
      <c r="X12" s="335">
        <f>IF(Planejamento2025[[#This Row],[Fonte Pagadora]]="Anna de Moura",(W12*H12*24),"R$ 0,00")</f>
        <v>1615</v>
      </c>
      <c r="Y12" s="335">
        <v>0</v>
      </c>
      <c r="Z12" s="335">
        <f>INDEX(Tabela1[Valor RH / Executado],MATCH(Planejamento2025[[#This Row],[ID]],Tabela1[ID],0))</f>
        <v>1615</v>
      </c>
      <c r="AA12" s="292">
        <f>INDEX(Tabela1[Valor Insumo / Executado],MATCH(Planejamento2025[[#This Row],[ID]],Tabela1[ID],0))</f>
        <v>0</v>
      </c>
      <c r="AB1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2" s="332" t="s">
        <v>5</v>
      </c>
      <c r="AD12" s="332" t="s">
        <v>5</v>
      </c>
      <c r="AE1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2" s="423"/>
      <c r="AG12" s="336"/>
    </row>
    <row r="13" spans="1:33" s="206" customFormat="1" ht="30" customHeight="1" x14ac:dyDescent="0.25">
      <c r="A1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_T2</v>
      </c>
      <c r="B13" s="207" t="s">
        <v>145</v>
      </c>
      <c r="C13" s="202" t="s">
        <v>138</v>
      </c>
      <c r="D13" s="202" t="s">
        <v>228</v>
      </c>
      <c r="E13" s="207" t="s">
        <v>180</v>
      </c>
      <c r="F13" s="207" t="s">
        <v>401</v>
      </c>
      <c r="G13" s="207" t="s">
        <v>192</v>
      </c>
      <c r="H13" s="203">
        <v>1.4166666666666667</v>
      </c>
      <c r="I13" s="203"/>
      <c r="J13" s="203"/>
      <c r="K13" s="203"/>
      <c r="L13" s="203" t="s">
        <v>100</v>
      </c>
      <c r="M13" s="203"/>
      <c r="N13" s="43" t="str">
        <f t="shared" si="0"/>
        <v>1110111</v>
      </c>
      <c r="O13" s="203">
        <v>0.79166666666666663</v>
      </c>
      <c r="P13" s="203">
        <v>0.875</v>
      </c>
      <c r="Q13" s="203">
        <f>Planejamento2025[[#This Row],[Saída]]-Planejamento2025[[#This Row],[Entrada]]</f>
        <v>8.333333333333337E-2</v>
      </c>
      <c r="R13" s="331">
        <f>Planejamento2025[[#This Row],[Carga Horária]]/Q13</f>
        <v>16.999999999999993</v>
      </c>
      <c r="S13" s="204">
        <v>45701</v>
      </c>
      <c r="T13" s="204">
        <f>WORKDAY.INTL(S13,R13,Planejamento2025[[#This Row],[Padrão]],Calendário!$R$4:$R$35)</f>
        <v>45834</v>
      </c>
      <c r="U13" s="332" t="s">
        <v>150</v>
      </c>
      <c r="V13" s="333">
        <v>25</v>
      </c>
      <c r="W13" s="334">
        <v>47.5</v>
      </c>
      <c r="X13" s="335">
        <f>IF(Planejamento2025[[#This Row],[Fonte Pagadora]]="Anna de Moura",(W13*H13*24),"R$ 0,00")</f>
        <v>1615</v>
      </c>
      <c r="Y13" s="335">
        <v>0</v>
      </c>
      <c r="Z13" s="335">
        <f>INDEX(Tabela1[Valor RH / Executado],MATCH(Planejamento2025[[#This Row],[ID]],Tabela1[ID],0))</f>
        <v>1615</v>
      </c>
      <c r="AA13" s="292">
        <f>INDEX(Tabela1[Valor Insumo / Executado],MATCH(Planejamento2025[[#This Row],[ID]],Tabela1[ID],0))</f>
        <v>0</v>
      </c>
      <c r="AB1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3" s="332" t="s">
        <v>5</v>
      </c>
      <c r="AD13" s="332" t="s">
        <v>5</v>
      </c>
      <c r="AE1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3" s="423"/>
      <c r="AG13" s="336"/>
    </row>
    <row r="14" spans="1:33" s="206" customFormat="1" ht="30" customHeight="1" x14ac:dyDescent="0.25">
      <c r="A1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 _T1</v>
      </c>
      <c r="B14" s="207" t="s">
        <v>141</v>
      </c>
      <c r="C14" s="202" t="s">
        <v>137</v>
      </c>
      <c r="D14" s="202" t="s">
        <v>230</v>
      </c>
      <c r="E14" s="207" t="s">
        <v>179</v>
      </c>
      <c r="F14" s="207" t="s">
        <v>401</v>
      </c>
      <c r="G14" s="207" t="s">
        <v>191</v>
      </c>
      <c r="H14" s="203">
        <v>1.25</v>
      </c>
      <c r="I14" s="203"/>
      <c r="J14" s="203" t="s">
        <v>100</v>
      </c>
      <c r="K14" s="203"/>
      <c r="L14" s="203"/>
      <c r="M14" s="203"/>
      <c r="N14" s="174" t="str">
        <f t="shared" si="0"/>
        <v>1011111</v>
      </c>
      <c r="O14" s="203">
        <v>0.58333333333333337</v>
      </c>
      <c r="P14" s="203">
        <v>0.70833333333333337</v>
      </c>
      <c r="Q14" s="203">
        <f>Planejamento2025[[#This Row],[Saída]]-Planejamento2025[[#This Row],[Entrada]]</f>
        <v>0.125</v>
      </c>
      <c r="R14" s="331">
        <f>Planejamento2025[[#This Row],[Carga Horária]]/Q14</f>
        <v>10</v>
      </c>
      <c r="S14" s="204">
        <v>45706</v>
      </c>
      <c r="T14" s="204">
        <f>WORKDAY.INTL(S14,R14,Planejamento2025[[#This Row],[Padrão]],Calendário!$R$4:$R$35)</f>
        <v>45783</v>
      </c>
      <c r="U14" s="332" t="s">
        <v>198</v>
      </c>
      <c r="V14" s="333">
        <v>20</v>
      </c>
      <c r="W14" s="334">
        <v>47.5</v>
      </c>
      <c r="X14" s="335">
        <f>IF(Planejamento2025[[#This Row],[Fonte Pagadora]]="Anna de Moura",(W14*H14*24),"R$ 0,00")</f>
        <v>1425</v>
      </c>
      <c r="Y14" s="335">
        <v>600</v>
      </c>
      <c r="Z14" s="335">
        <f>INDEX(Tabela1[Valor RH / Executado],MATCH(Planejamento2025[[#This Row],[ID]],Tabela1[ID],0))</f>
        <v>1520</v>
      </c>
      <c r="AA14" s="292">
        <f>INDEX(Tabela1[Valor Insumo / Executado],MATCH(Planejamento2025[[#This Row],[ID]],Tabela1[ID],0))</f>
        <v>0</v>
      </c>
      <c r="AB1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4" s="332" t="s">
        <v>5</v>
      </c>
      <c r="AD14" s="332" t="s">
        <v>5</v>
      </c>
      <c r="AE1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4" s="423"/>
      <c r="AG14" s="336"/>
    </row>
    <row r="15" spans="1:33" s="206" customFormat="1" ht="30" customHeight="1" x14ac:dyDescent="0.25">
      <c r="A1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_T1</v>
      </c>
      <c r="B15" s="207" t="s">
        <v>86</v>
      </c>
      <c r="C15" s="202" t="s">
        <v>137</v>
      </c>
      <c r="D15" s="202" t="s">
        <v>230</v>
      </c>
      <c r="E15" s="207" t="s">
        <v>76</v>
      </c>
      <c r="F15" s="207" t="s">
        <v>397</v>
      </c>
      <c r="G15" s="207" t="s">
        <v>246</v>
      </c>
      <c r="H15" s="203">
        <v>1</v>
      </c>
      <c r="I15" s="203" t="s">
        <v>139</v>
      </c>
      <c r="J15" s="203" t="s">
        <v>139</v>
      </c>
      <c r="K15" s="203" t="s">
        <v>139</v>
      </c>
      <c r="L15" s="203" t="s">
        <v>139</v>
      </c>
      <c r="M15" s="203"/>
      <c r="N15" s="203" t="str">
        <f t="shared" si="0"/>
        <v>0000111</v>
      </c>
      <c r="O15" s="203">
        <v>0.58333333333333337</v>
      </c>
      <c r="P15" s="203">
        <v>0.70833333333333337</v>
      </c>
      <c r="Q15" s="203">
        <f>Planejamento2025[[#This Row],[Saída]]-Planejamento2025[[#This Row],[Entrada]]</f>
        <v>0.125</v>
      </c>
      <c r="R15" s="331">
        <f>Planejamento2025[[#This Row],[Carga Horária]]/Q15</f>
        <v>8</v>
      </c>
      <c r="S15" s="204">
        <v>45706</v>
      </c>
      <c r="T15" s="204">
        <v>45716</v>
      </c>
      <c r="U15" s="332" t="s">
        <v>199</v>
      </c>
      <c r="V15" s="333">
        <v>20</v>
      </c>
      <c r="W15" s="334">
        <v>0</v>
      </c>
      <c r="X15" s="335" t="str">
        <f>IF(Planejamento2025[[#This Row],[Fonte Pagadora]]="Anna de Moura",(W15*H15*24),"R$ 0,00")</f>
        <v>R$ 0,00</v>
      </c>
      <c r="Y15" s="335">
        <v>0</v>
      </c>
      <c r="Z15" s="335">
        <f>INDEX(Tabela1[Valor RH / Executado],MATCH(Planejamento2025[[#This Row],[ID]],Tabela1[ID],0))</f>
        <v>0</v>
      </c>
      <c r="AA15" s="292">
        <f>INDEX(Tabela1[Valor Insumo / Executado],MATCH(Planejamento2025[[#This Row],[ID]],Tabela1[ID],0))</f>
        <v>0</v>
      </c>
      <c r="AB1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5" s="332" t="s">
        <v>15</v>
      </c>
      <c r="AD15" s="332" t="s">
        <v>15</v>
      </c>
      <c r="AE1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5" s="423"/>
      <c r="AG15" s="336"/>
    </row>
    <row r="16" spans="1:33" s="327" customFormat="1" ht="30" customHeight="1" x14ac:dyDescent="0.25">
      <c r="A1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EleIns_T1</v>
      </c>
      <c r="B16" s="337" t="s">
        <v>88</v>
      </c>
      <c r="C16" s="47" t="s">
        <v>137</v>
      </c>
      <c r="D16" s="47" t="s">
        <v>230</v>
      </c>
      <c r="E16" s="337" t="s">
        <v>90</v>
      </c>
      <c r="F16" s="337" t="s">
        <v>399</v>
      </c>
      <c r="G16" s="337" t="s">
        <v>246</v>
      </c>
      <c r="H16" s="43">
        <v>6.666666666666667</v>
      </c>
      <c r="I16" s="43"/>
      <c r="J16" s="43" t="s">
        <v>139</v>
      </c>
      <c r="K16" s="43"/>
      <c r="L16" s="43" t="s">
        <v>139</v>
      </c>
      <c r="M16" s="43"/>
      <c r="N16" s="43" t="str">
        <f t="shared" si="0"/>
        <v>1010111</v>
      </c>
      <c r="O16" s="43">
        <v>0.54166666666666663</v>
      </c>
      <c r="P16" s="43">
        <v>0.72916666666666663</v>
      </c>
      <c r="Q16" s="43">
        <f>Planejamento2025[[#This Row],[Saída]]-Planejamento2025[[#This Row],[Entrada]]</f>
        <v>0.1875</v>
      </c>
      <c r="R16" s="130">
        <f>Planejamento2025[[#This Row],[Carga Horária]]/Q16</f>
        <v>35.555555555555557</v>
      </c>
      <c r="S16" s="44">
        <v>45722</v>
      </c>
      <c r="T16" s="44">
        <v>45869</v>
      </c>
      <c r="U16" s="338" t="s">
        <v>240</v>
      </c>
      <c r="V16" s="339">
        <v>16</v>
      </c>
      <c r="W16" s="340" t="s">
        <v>241</v>
      </c>
      <c r="X16" s="341" t="str">
        <f>IF(Planejamento2025[[#This Row],[Fonte Pagadora]]="Anna de Moura",(W16*H16*24),"R$ 0,00")</f>
        <v>R$ 0,00</v>
      </c>
      <c r="Y16" s="341">
        <v>0</v>
      </c>
      <c r="Z16" s="341">
        <f>INDEX(Tabela1[Valor RH / Executado],MATCH(Planejamento2025[[#This Row],[ID]],Tabela1[ID],0))</f>
        <v>0</v>
      </c>
      <c r="AA16" s="184">
        <f>INDEX(Tabela1[Valor Insumo / Executado],MATCH(Planejamento2025[[#This Row],[ID]],Tabela1[ID],0))</f>
        <v>0</v>
      </c>
      <c r="AB16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6" s="338" t="s">
        <v>15</v>
      </c>
      <c r="AD16" s="338" t="s">
        <v>15</v>
      </c>
      <c r="AE1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6" s="423" t="s">
        <v>435</v>
      </c>
      <c r="AG16" s="336"/>
    </row>
    <row r="17" spans="1:33" s="327" customFormat="1" ht="30" customHeight="1" x14ac:dyDescent="0.25">
      <c r="A17" s="337" t="s">
        <v>261</v>
      </c>
      <c r="B17" s="337" t="s">
        <v>242</v>
      </c>
      <c r="C17" s="47" t="s">
        <v>137</v>
      </c>
      <c r="D17" s="47" t="s">
        <v>230</v>
      </c>
      <c r="E17" s="337" t="s">
        <v>74</v>
      </c>
      <c r="F17" s="337" t="s">
        <v>399</v>
      </c>
      <c r="G17" s="337" t="s">
        <v>445</v>
      </c>
      <c r="H17" s="43">
        <v>6.666666666666667</v>
      </c>
      <c r="I17" s="43" t="s">
        <v>139</v>
      </c>
      <c r="J17" s="43"/>
      <c r="K17" s="43" t="s">
        <v>139</v>
      </c>
      <c r="L17" s="43"/>
      <c r="M17" s="43" t="s">
        <v>139</v>
      </c>
      <c r="N17" s="43" t="str">
        <f t="shared" si="0"/>
        <v>0101011</v>
      </c>
      <c r="O17" s="43">
        <v>0.58333333333333337</v>
      </c>
      <c r="P17" s="43">
        <v>0.70833333333333337</v>
      </c>
      <c r="Q17" s="43">
        <f>Planejamento2025[[#This Row],[Saída]]-Planejamento2025[[#This Row],[Entrada]]</f>
        <v>0.125</v>
      </c>
      <c r="R17" s="130">
        <f>Planejamento2025[[#This Row],[Carga Horária]]/Q17</f>
        <v>53.333333333333336</v>
      </c>
      <c r="S17" s="44">
        <v>45723</v>
      </c>
      <c r="T17" s="44">
        <v>45882</v>
      </c>
      <c r="U17" s="338" t="s">
        <v>199</v>
      </c>
      <c r="V17" s="339">
        <v>14</v>
      </c>
      <c r="W17" s="340" t="s">
        <v>241</v>
      </c>
      <c r="X17" s="341" t="str">
        <f>IF(Planejamento2025[[#This Row],[Fonte Pagadora]]="Anna de Moura",(W17*H17*24),"R$ 0,00")</f>
        <v>R$ 0,00</v>
      </c>
      <c r="Y17" s="341">
        <v>0</v>
      </c>
      <c r="Z17" s="341">
        <f>INDEX(Tabela1[Valor RH / Executado],MATCH(Planejamento2025[[#This Row],[ID]],Tabela1[ID],0))</f>
        <v>0</v>
      </c>
      <c r="AA17" s="184">
        <f>INDEX(Tabela1[Valor Insumo / Executado],MATCH(Planejamento2025[[#This Row],[ID]],Tabela1[ID],0))</f>
        <v>0</v>
      </c>
      <c r="AB17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7" s="338" t="s">
        <v>15</v>
      </c>
      <c r="AD17" s="338" t="s">
        <v>15</v>
      </c>
      <c r="AE1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7" s="423" t="s">
        <v>423</v>
      </c>
      <c r="AG17" s="336"/>
    </row>
    <row r="18" spans="1:33" s="206" customFormat="1" ht="30" customHeight="1" x14ac:dyDescent="0.25">
      <c r="A18" s="207" t="s">
        <v>236</v>
      </c>
      <c r="B18" s="207" t="s">
        <v>235</v>
      </c>
      <c r="C18" s="202" t="s">
        <v>137</v>
      </c>
      <c r="D18" s="202" t="s">
        <v>230</v>
      </c>
      <c r="E18" s="207" t="s">
        <v>213</v>
      </c>
      <c r="F18" s="207" t="s">
        <v>397</v>
      </c>
      <c r="G18" s="207" t="s">
        <v>226</v>
      </c>
      <c r="H18" s="203">
        <v>1.1666666666666667</v>
      </c>
      <c r="I18" s="203" t="s">
        <v>100</v>
      </c>
      <c r="J18" s="203" t="s">
        <v>100</v>
      </c>
      <c r="K18" s="203" t="s">
        <v>100</v>
      </c>
      <c r="L18" s="203" t="s">
        <v>100</v>
      </c>
      <c r="M18" s="203" t="s">
        <v>100</v>
      </c>
      <c r="N18" s="203" t="str">
        <f t="shared" si="0"/>
        <v>0000011</v>
      </c>
      <c r="O18" s="203">
        <v>0.5625</v>
      </c>
      <c r="P18" s="203">
        <v>0.72916666666666663</v>
      </c>
      <c r="Q18" s="203">
        <f>Planejamento2025[[#This Row],[Saída]]-Planejamento2025[[#This Row],[Entrada]]</f>
        <v>0.16666666666666663</v>
      </c>
      <c r="R18" s="331">
        <f>Planejamento2025[[#This Row],[Carga Horária]]/Q18</f>
        <v>7.0000000000000018</v>
      </c>
      <c r="S18" s="204">
        <v>45726</v>
      </c>
      <c r="T18" s="204">
        <v>45734</v>
      </c>
      <c r="U18" s="332" t="s">
        <v>198</v>
      </c>
      <c r="V18" s="333">
        <v>16</v>
      </c>
      <c r="W18" s="334" t="s">
        <v>241</v>
      </c>
      <c r="X18" s="335" t="str">
        <f>IF(Planejamento2025[[#This Row],[Fonte Pagadora]]="Anna de Moura",(W18*H18*24),"R$ 0,00")</f>
        <v>R$ 0,00</v>
      </c>
      <c r="Y18" s="335">
        <v>0</v>
      </c>
      <c r="Z18" s="335">
        <f>INDEX(Tabela1[Valor RH / Executado],MATCH(Planejamento2025[[#This Row],[ID]],Tabela1[ID],0))</f>
        <v>0</v>
      </c>
      <c r="AA18" s="292">
        <f>INDEX(Tabela1[Valor Insumo / Executado],MATCH(Planejamento2025[[#This Row],[ID]],Tabela1[ID],0))</f>
        <v>0</v>
      </c>
      <c r="AB1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8" s="332" t="s">
        <v>408</v>
      </c>
      <c r="AD18" s="332" t="s">
        <v>409</v>
      </c>
      <c r="AE18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18" s="423"/>
      <c r="AG18" s="336"/>
    </row>
    <row r="19" spans="1:33" s="206" customFormat="1" ht="30" customHeight="1" x14ac:dyDescent="0.25">
      <c r="A1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PãeEsp_T1</v>
      </c>
      <c r="B19" s="207" t="s">
        <v>214</v>
      </c>
      <c r="C19" s="202" t="s">
        <v>137</v>
      </c>
      <c r="D19" s="202" t="s">
        <v>228</v>
      </c>
      <c r="E19" s="207" t="s">
        <v>213</v>
      </c>
      <c r="F19" s="207" t="s">
        <v>401</v>
      </c>
      <c r="G19" s="207" t="s">
        <v>186</v>
      </c>
      <c r="H19" s="203">
        <v>0.75</v>
      </c>
      <c r="I19" s="203"/>
      <c r="J19" s="203" t="s">
        <v>100</v>
      </c>
      <c r="K19" s="203" t="s">
        <v>100</v>
      </c>
      <c r="L19" s="203"/>
      <c r="M19" s="203"/>
      <c r="N19" s="203" t="str">
        <f t="shared" si="0"/>
        <v>1001111</v>
      </c>
      <c r="O19" s="203">
        <v>0.79166666666666663</v>
      </c>
      <c r="P19" s="203">
        <v>0.91666666666666663</v>
      </c>
      <c r="Q19" s="203">
        <f>Planejamento2025[[#This Row],[Saída]]-Planejamento2025[[#This Row],[Entrada]]</f>
        <v>0.125</v>
      </c>
      <c r="R19" s="331">
        <f>Planejamento2025[[#This Row],[Carga Horária]]/Q19</f>
        <v>6</v>
      </c>
      <c r="S19" s="204">
        <v>45727</v>
      </c>
      <c r="T19" s="204">
        <v>45742</v>
      </c>
      <c r="U19" s="332" t="s">
        <v>198</v>
      </c>
      <c r="V19" s="333">
        <v>18</v>
      </c>
      <c r="W19" s="334">
        <v>47.5</v>
      </c>
      <c r="X19" s="335">
        <f>IF(Planejamento2025[[#This Row],[Fonte Pagadora]]="Anna de Moura",(W19*H19*24),"R$ 0,00")</f>
        <v>855</v>
      </c>
      <c r="Y19" s="335">
        <f>17*30</f>
        <v>510</v>
      </c>
      <c r="Z19" s="335">
        <f>INDEX(Tabela1[Valor RH / Executado],MATCH(Planejamento2025[[#This Row],[ID]],Tabela1[ID],0))</f>
        <v>855</v>
      </c>
      <c r="AA19" s="292">
        <f>INDEX(Tabela1[Valor Insumo / Executado],MATCH(Planejamento2025[[#This Row],[ID]],Tabela1[ID],0))</f>
        <v>515.84</v>
      </c>
      <c r="AB1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9" s="332" t="s">
        <v>5</v>
      </c>
      <c r="AD19" s="332" t="s">
        <v>5</v>
      </c>
      <c r="AE1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9" s="423"/>
      <c r="AG19" s="336"/>
    </row>
    <row r="20" spans="1:33" s="206" customFormat="1" ht="30" customHeight="1" x14ac:dyDescent="0.25">
      <c r="A2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PacOff_T2</v>
      </c>
      <c r="B20" s="207" t="s">
        <v>78</v>
      </c>
      <c r="C20" s="202" t="s">
        <v>138</v>
      </c>
      <c r="D20" s="202" t="s">
        <v>230</v>
      </c>
      <c r="E20" s="207" t="s">
        <v>74</v>
      </c>
      <c r="F20" s="207" t="s">
        <v>397</v>
      </c>
      <c r="G20" s="207" t="s">
        <v>188</v>
      </c>
      <c r="H20" s="203">
        <v>4</v>
      </c>
      <c r="I20" s="203"/>
      <c r="J20" s="203" t="s">
        <v>100</v>
      </c>
      <c r="K20" s="203" t="s">
        <v>100</v>
      </c>
      <c r="L20" s="203" t="s">
        <v>100</v>
      </c>
      <c r="M20" s="203"/>
      <c r="N20" s="174" t="str">
        <f t="shared" si="0"/>
        <v>1000111</v>
      </c>
      <c r="O20" s="203">
        <v>0.625</v>
      </c>
      <c r="P20" s="203">
        <v>0.75</v>
      </c>
      <c r="Q20" s="203">
        <f>Planejamento2025[[#This Row],[Saída]]-Planejamento2025[[#This Row],[Entrada]]</f>
        <v>0.125</v>
      </c>
      <c r="R20" s="331">
        <f>Planejamento2025[[#This Row],[Carga Horária]]/Q20</f>
        <v>32</v>
      </c>
      <c r="S20" s="204">
        <v>45727</v>
      </c>
      <c r="T20" s="204">
        <f>WORKDAY.INTL(S20,R20,Planejamento2025[[#This Row],[Padrão]],Calendário!$R$4:$R$35)</f>
        <v>45805</v>
      </c>
      <c r="U20" s="332" t="s">
        <v>197</v>
      </c>
      <c r="V20" s="333">
        <v>16</v>
      </c>
      <c r="W20" s="334">
        <v>47.5</v>
      </c>
      <c r="X20" s="335">
        <f>IF(Planejamento2025[[#This Row],[Fonte Pagadora]]="Anna de Moura",(W20*H20*24),"R$ 0,00")</f>
        <v>4560</v>
      </c>
      <c r="Y20" s="335"/>
      <c r="Z20" s="335">
        <f>INDEX(Tabela1[Valor RH / Executado],MATCH(Planejamento2025[[#This Row],[ID]],Tabela1[ID],0))</f>
        <v>4560</v>
      </c>
      <c r="AA20" s="292">
        <f>INDEX(Tabela1[Valor Insumo / Executado],MATCH(Planejamento2025[[#This Row],[ID]],Tabela1[ID],0))</f>
        <v>0</v>
      </c>
      <c r="AB2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0" s="332" t="s">
        <v>5</v>
      </c>
      <c r="AD20" s="332" t="s">
        <v>15</v>
      </c>
      <c r="AE20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20" s="423"/>
      <c r="AG20" s="336"/>
    </row>
    <row r="21" spans="1:33" s="206" customFormat="1" ht="30" customHeight="1" x14ac:dyDescent="0.25">
      <c r="A2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Ban _T1</v>
      </c>
      <c r="B21" s="207" t="s">
        <v>231</v>
      </c>
      <c r="C21" s="202" t="s">
        <v>137</v>
      </c>
      <c r="D21" s="202" t="s">
        <v>228</v>
      </c>
      <c r="E21" s="207"/>
      <c r="F21" s="207"/>
      <c r="G21" s="207" t="s">
        <v>209</v>
      </c>
      <c r="H21" s="203">
        <v>1.3333333333333333</v>
      </c>
      <c r="I21" s="203"/>
      <c r="J21" s="203" t="s">
        <v>100</v>
      </c>
      <c r="K21" s="203"/>
      <c r="L21" s="203"/>
      <c r="M21" s="203"/>
      <c r="N21" s="43" t="str">
        <f t="shared" si="0"/>
        <v>1011111</v>
      </c>
      <c r="O21" s="203">
        <v>0.79166666666666663</v>
      </c>
      <c r="P21" s="203">
        <v>0.875</v>
      </c>
      <c r="Q21" s="203">
        <f>Planejamento2025[[#This Row],[Saída]]-Planejamento2025[[#This Row],[Entrada]]</f>
        <v>8.333333333333337E-2</v>
      </c>
      <c r="R21" s="331">
        <f>Planejamento2025[[#This Row],[Carga Horária]]/Q21</f>
        <v>15.999999999999993</v>
      </c>
      <c r="S21" s="204">
        <v>45727</v>
      </c>
      <c r="T21" s="204">
        <f>WORKDAY.INTL(S21,R21,Planejamento2025[[#This Row],[Padrão]],Calendário!$R$4:$R$35)</f>
        <v>45832</v>
      </c>
      <c r="U21" s="332" t="s">
        <v>232</v>
      </c>
      <c r="V21" s="333">
        <v>40</v>
      </c>
      <c r="W21" s="334"/>
      <c r="X21" s="335">
        <v>12896.25</v>
      </c>
      <c r="Y21" s="335"/>
      <c r="Z21" s="335">
        <f>INDEX(Tabela1[Valor RH / Executado],MATCH(Planejamento2025[[#This Row],[ID]],Tabela1[ID],0))</f>
        <v>7037.92</v>
      </c>
      <c r="AA21" s="292">
        <f>INDEX(Tabela1[Valor Insumo / Executado],MATCH(Planejamento2025[[#This Row],[ID]],Tabela1[ID],0))</f>
        <v>0</v>
      </c>
      <c r="AB2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1" s="332" t="s">
        <v>5</v>
      </c>
      <c r="AD21" s="332" t="s">
        <v>5</v>
      </c>
      <c r="AE21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1" s="423"/>
      <c r="AG21" s="336"/>
    </row>
    <row r="22" spans="1:33" s="206" customFormat="1" ht="30" customHeight="1" x14ac:dyDescent="0.25">
      <c r="A22" s="207" t="s">
        <v>234</v>
      </c>
      <c r="B22" s="207" t="s">
        <v>233</v>
      </c>
      <c r="C22" s="202" t="s">
        <v>137</v>
      </c>
      <c r="D22" s="202" t="s">
        <v>229</v>
      </c>
      <c r="E22" s="207" t="s">
        <v>211</v>
      </c>
      <c r="F22" s="207" t="s">
        <v>397</v>
      </c>
      <c r="G22" s="207" t="s">
        <v>253</v>
      </c>
      <c r="H22" s="203">
        <v>1.5</v>
      </c>
      <c r="I22" s="203" t="s">
        <v>100</v>
      </c>
      <c r="J22" s="203" t="s">
        <v>100</v>
      </c>
      <c r="K22" s="203" t="s">
        <v>100</v>
      </c>
      <c r="L22" s="203" t="s">
        <v>100</v>
      </c>
      <c r="M22" s="203" t="s">
        <v>100</v>
      </c>
      <c r="N22" s="203" t="str">
        <f t="shared" si="0"/>
        <v>0000011</v>
      </c>
      <c r="O22" s="203">
        <v>0.33333333333333331</v>
      </c>
      <c r="P22" s="203">
        <v>0.5</v>
      </c>
      <c r="Q22" s="203">
        <f>Planejamento2025[[#This Row],[Saída]]-Planejamento2025[[#This Row],[Entrada]]</f>
        <v>0.16666666666666669</v>
      </c>
      <c r="R22" s="331">
        <f>Planejamento2025[[#This Row],[Carga Horária]]/Q22</f>
        <v>8.9999999999999982</v>
      </c>
      <c r="S22" s="204">
        <v>45728</v>
      </c>
      <c r="T22" s="204">
        <v>45741</v>
      </c>
      <c r="U22" s="332" t="s">
        <v>198</v>
      </c>
      <c r="V22" s="333">
        <v>16</v>
      </c>
      <c r="W22" s="334">
        <v>47.5</v>
      </c>
      <c r="X22" s="335" t="str">
        <f>IF(Planejamento2025[[#This Row],[Fonte Pagadora]]="Anna de Moura",(W22*H22*24),"R$ 0,00")</f>
        <v>R$ 0,00</v>
      </c>
      <c r="Y22" s="335"/>
      <c r="Z22" s="335">
        <f>INDEX(Tabela1[Valor RH / Executado],MATCH(Planejamento2025[[#This Row],[ID]],Tabela1[ID],0))</f>
        <v>0</v>
      </c>
      <c r="AA22" s="292">
        <f>INDEX(Tabela1[Valor Insumo / Executado],MATCH(Planejamento2025[[#This Row],[ID]],Tabela1[ID],0))</f>
        <v>0</v>
      </c>
      <c r="AB2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2" s="332" t="s">
        <v>408</v>
      </c>
      <c r="AD22" s="332" t="s">
        <v>409</v>
      </c>
      <c r="AE2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22" s="423"/>
      <c r="AG22" s="336"/>
    </row>
    <row r="23" spans="1:33" s="206" customFormat="1" ht="30" customHeight="1" x14ac:dyDescent="0.25">
      <c r="A2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_T2</v>
      </c>
      <c r="B23" s="207" t="s">
        <v>153</v>
      </c>
      <c r="C23" s="202" t="s">
        <v>138</v>
      </c>
      <c r="D23" s="202" t="s">
        <v>230</v>
      </c>
      <c r="E23" s="207" t="s">
        <v>182</v>
      </c>
      <c r="F23" s="207" t="s">
        <v>401</v>
      </c>
      <c r="G23" s="207" t="s">
        <v>195</v>
      </c>
      <c r="H23" s="203">
        <v>1.5416666666666667</v>
      </c>
      <c r="I23" s="203"/>
      <c r="J23" s="203"/>
      <c r="K23" s="203"/>
      <c r="L23" s="203" t="s">
        <v>100</v>
      </c>
      <c r="M23" s="203"/>
      <c r="N23" s="174" t="str">
        <f t="shared" si="0"/>
        <v>1110111</v>
      </c>
      <c r="O23" s="203">
        <v>0.625</v>
      </c>
      <c r="P23" s="203">
        <v>0.75</v>
      </c>
      <c r="Q23" s="203">
        <f>Planejamento2025[[#This Row],[Saída]]-Planejamento2025[[#This Row],[Entrada]]</f>
        <v>0.125</v>
      </c>
      <c r="R23" s="331">
        <f>Planejamento2025[[#This Row],[Carga Horária]]/Q23</f>
        <v>12.333333333333334</v>
      </c>
      <c r="S23" s="204">
        <v>45729</v>
      </c>
      <c r="T23" s="204">
        <f>WORKDAY.INTL(S23,R23,Planejamento2025[[#This Row],[Padrão]],Calendário!$R$4:$R$35)</f>
        <v>45834</v>
      </c>
      <c r="U23" s="332" t="s">
        <v>200</v>
      </c>
      <c r="V23" s="333">
        <v>32</v>
      </c>
      <c r="W23" s="334">
        <v>47.5</v>
      </c>
      <c r="X23" s="335">
        <f>IF(Planejamento2025[[#This Row],[Fonte Pagadora]]="Anna de Moura",(W23*H23*24),"R$ 0,00")</f>
        <v>1757.5</v>
      </c>
      <c r="Y23" s="335"/>
      <c r="Z23" s="335">
        <f>INDEX(Tabela1[Valor RH / Executado],MATCH(Planejamento2025[[#This Row],[ID]],Tabela1[ID],0))</f>
        <v>1852.5</v>
      </c>
      <c r="AA23" s="292">
        <f>INDEX(Tabela1[Valor Insumo / Executado],MATCH(Planejamento2025[[#This Row],[ID]],Tabela1[ID],0))</f>
        <v>0</v>
      </c>
      <c r="AB2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3" s="332" t="s">
        <v>5</v>
      </c>
      <c r="AD23" s="332" t="s">
        <v>5</v>
      </c>
      <c r="AE2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3" s="423"/>
      <c r="AG23" s="336"/>
    </row>
    <row r="24" spans="1:33" s="206" customFormat="1" ht="30" customHeight="1" x14ac:dyDescent="0.25">
      <c r="A24" s="207" t="s">
        <v>238</v>
      </c>
      <c r="B24" s="207" t="s">
        <v>237</v>
      </c>
      <c r="C24" s="202" t="s">
        <v>137</v>
      </c>
      <c r="D24" s="202" t="s">
        <v>229</v>
      </c>
      <c r="E24" s="207" t="s">
        <v>211</v>
      </c>
      <c r="F24" s="207" t="s">
        <v>399</v>
      </c>
      <c r="G24" s="207" t="s">
        <v>253</v>
      </c>
      <c r="H24" s="203">
        <v>6.666666666666667</v>
      </c>
      <c r="I24" s="203" t="s">
        <v>100</v>
      </c>
      <c r="J24" s="203" t="s">
        <v>100</v>
      </c>
      <c r="K24" s="203" t="s">
        <v>100</v>
      </c>
      <c r="L24" s="203" t="s">
        <v>100</v>
      </c>
      <c r="M24" s="203" t="s">
        <v>100</v>
      </c>
      <c r="N24" s="193" t="str">
        <f t="shared" si="0"/>
        <v>0000011</v>
      </c>
      <c r="O24" s="203">
        <v>0.33333333333333331</v>
      </c>
      <c r="P24" s="203">
        <v>0.5</v>
      </c>
      <c r="Q24" s="203">
        <f>Planejamento2025[[#This Row],[Saída]]-Planejamento2025[[#This Row],[Entrada]]</f>
        <v>0.16666666666666669</v>
      </c>
      <c r="R24" s="331">
        <f>Planejamento2025[[#This Row],[Carga Horária]]/Q24</f>
        <v>40</v>
      </c>
      <c r="S24" s="204">
        <v>45743</v>
      </c>
      <c r="T24" s="204">
        <f>WORKDAY.INTL(S24,R24,Planejamento2025[[#This Row],[Padrão]],Calendário!$R$4:$R$35)</f>
        <v>45805</v>
      </c>
      <c r="U24" s="332" t="s">
        <v>198</v>
      </c>
      <c r="V24" s="333">
        <v>16</v>
      </c>
      <c r="W24" s="334">
        <v>47.5</v>
      </c>
      <c r="X24" s="335" t="str">
        <f>IF(Planejamento2025[[#This Row],[Fonte Pagadora]]="Anna de Moura",(W24*H24*24),"R$ 0,00")</f>
        <v>R$ 0,00</v>
      </c>
      <c r="Y24" s="335"/>
      <c r="Z24" s="335">
        <f>INDEX(Tabela1[Valor RH / Executado],MATCH(Planejamento2025[[#This Row],[ID]],Tabela1[ID],0))</f>
        <v>0</v>
      </c>
      <c r="AA24" s="292">
        <f>INDEX(Tabela1[Valor Insumo / Executado],MATCH(Planejamento2025[[#This Row],[ID]],Tabela1[ID],0))</f>
        <v>0</v>
      </c>
      <c r="AB2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4" s="332" t="s">
        <v>15</v>
      </c>
      <c r="AD24" s="332" t="s">
        <v>15</v>
      </c>
      <c r="AE2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4" s="423"/>
      <c r="AG24" s="336"/>
    </row>
    <row r="25" spans="1:33" s="206" customFormat="1" ht="30" customHeight="1" x14ac:dyDescent="0.25">
      <c r="A25" s="207" t="s">
        <v>239</v>
      </c>
      <c r="B25" s="207" t="s">
        <v>237</v>
      </c>
      <c r="C25" s="202" t="s">
        <v>138</v>
      </c>
      <c r="D25" s="202" t="s">
        <v>230</v>
      </c>
      <c r="E25" s="207" t="s">
        <v>211</v>
      </c>
      <c r="F25" s="207" t="s">
        <v>399</v>
      </c>
      <c r="G25" s="207" t="s">
        <v>253</v>
      </c>
      <c r="H25" s="203">
        <v>6.666666666666667</v>
      </c>
      <c r="I25" s="203" t="s">
        <v>100</v>
      </c>
      <c r="J25" s="203" t="s">
        <v>100</v>
      </c>
      <c r="K25" s="203" t="s">
        <v>100</v>
      </c>
      <c r="L25" s="203" t="s">
        <v>100</v>
      </c>
      <c r="M25" s="203" t="s">
        <v>100</v>
      </c>
      <c r="N25" s="193" t="str">
        <f t="shared" si="0"/>
        <v>0000011</v>
      </c>
      <c r="O25" s="203">
        <v>0.54166666666666663</v>
      </c>
      <c r="P25" s="203">
        <v>0.70833333333333337</v>
      </c>
      <c r="Q25" s="203">
        <f>Planejamento2025[[#This Row],[Saída]]-Planejamento2025[[#This Row],[Entrada]]</f>
        <v>0.16666666666666674</v>
      </c>
      <c r="R25" s="331">
        <f>Planejamento2025[[#This Row],[Carga Horária]]/Q25</f>
        <v>39.999999999999986</v>
      </c>
      <c r="S25" s="204">
        <v>45743</v>
      </c>
      <c r="T25" s="204">
        <v>45805</v>
      </c>
      <c r="U25" s="332" t="s">
        <v>198</v>
      </c>
      <c r="V25" s="333">
        <v>16</v>
      </c>
      <c r="W25" s="334">
        <v>47.5</v>
      </c>
      <c r="X25" s="335" t="str">
        <f>IF(Planejamento2025[[#This Row],[Fonte Pagadora]]="Anna de Moura",(W25*H25*24),"R$ 0,00")</f>
        <v>R$ 0,00</v>
      </c>
      <c r="Y25" s="335"/>
      <c r="Z25" s="335">
        <f>INDEX(Tabela1[Valor RH / Executado],MATCH(Planejamento2025[[#This Row],[ID]],Tabela1[ID],0))</f>
        <v>0</v>
      </c>
      <c r="AA25" s="292">
        <f>INDEX(Tabela1[Valor Insumo / Executado],MATCH(Planejamento2025[[#This Row],[ID]],Tabela1[ID],0))</f>
        <v>0</v>
      </c>
      <c r="AB2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5" s="332" t="s">
        <v>15</v>
      </c>
      <c r="AD25" s="332" t="s">
        <v>15</v>
      </c>
      <c r="AE2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5" s="423"/>
      <c r="AG25" s="336"/>
    </row>
    <row r="26" spans="1:33" s="206" customFormat="1" ht="30" customHeight="1" x14ac:dyDescent="0.25">
      <c r="A2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MasFol_T1</v>
      </c>
      <c r="B26" s="207" t="s">
        <v>215</v>
      </c>
      <c r="C26" s="202" t="s">
        <v>137</v>
      </c>
      <c r="D26" s="202" t="s">
        <v>228</v>
      </c>
      <c r="E26" s="207" t="s">
        <v>213</v>
      </c>
      <c r="F26" s="207" t="s">
        <v>401</v>
      </c>
      <c r="G26" s="207" t="s">
        <v>186</v>
      </c>
      <c r="H26" s="203">
        <v>0.625</v>
      </c>
      <c r="I26" s="203"/>
      <c r="J26" s="203" t="s">
        <v>100</v>
      </c>
      <c r="K26" s="203" t="s">
        <v>100</v>
      </c>
      <c r="L26" s="203"/>
      <c r="M26" s="203"/>
      <c r="N26" s="212" t="str">
        <f t="shared" si="0"/>
        <v>1001111</v>
      </c>
      <c r="O26" s="203">
        <v>0.79166666666666663</v>
      </c>
      <c r="P26" s="203">
        <v>0.91666666666666663</v>
      </c>
      <c r="Q26" s="203">
        <f>Planejamento2025[[#This Row],[Saída]]-Planejamento2025[[#This Row],[Entrada]]</f>
        <v>0.125</v>
      </c>
      <c r="R26" s="331">
        <f>Planejamento2025[[#This Row],[Carga Horária]]/Q26</f>
        <v>5</v>
      </c>
      <c r="S26" s="204">
        <v>45748</v>
      </c>
      <c r="T26" s="204">
        <v>45762</v>
      </c>
      <c r="U26" s="332" t="s">
        <v>198</v>
      </c>
      <c r="V26" s="333">
        <v>16</v>
      </c>
      <c r="W26" s="334">
        <v>47.5</v>
      </c>
      <c r="X26" s="335">
        <f>IF(Planejamento2025[[#This Row],[Fonte Pagadora]]="Anna de Moura",(W26*H26*24),"R$ 0,00")</f>
        <v>712.5</v>
      </c>
      <c r="Y26" s="335">
        <f>13*30</f>
        <v>390</v>
      </c>
      <c r="Z26" s="335">
        <f>INDEX(Tabela1[Valor RH / Executado],MATCH(Planejamento2025[[#This Row],[ID]],Tabela1[ID],0))</f>
        <v>712.5</v>
      </c>
      <c r="AA26" s="292">
        <f>INDEX(Tabela1[Valor Insumo / Executado],MATCH(Planejamento2025[[#This Row],[ID]],Tabela1[ID],0))</f>
        <v>767.87</v>
      </c>
      <c r="AB2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6" s="332" t="s">
        <v>5</v>
      </c>
      <c r="AD26" s="332" t="s">
        <v>5</v>
      </c>
      <c r="AE2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6" s="423"/>
      <c r="AG26" s="336"/>
    </row>
    <row r="27" spans="1:33" s="387" customFormat="1" ht="30" customHeight="1" x14ac:dyDescent="0.25">
      <c r="A2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ExcBás_T1</v>
      </c>
      <c r="B27" s="207" t="s">
        <v>260</v>
      </c>
      <c r="C27" s="202" t="s">
        <v>137</v>
      </c>
      <c r="D27" s="202" t="s">
        <v>229</v>
      </c>
      <c r="E27" s="207" t="s">
        <v>74</v>
      </c>
      <c r="F27" s="207" t="s">
        <v>397</v>
      </c>
      <c r="G27" s="207" t="s">
        <v>263</v>
      </c>
      <c r="H27" s="203">
        <v>1.6666666666666667</v>
      </c>
      <c r="I27" s="203" t="s">
        <v>100</v>
      </c>
      <c r="J27" s="203"/>
      <c r="K27" s="203"/>
      <c r="L27" s="203"/>
      <c r="M27" s="203"/>
      <c r="N27" s="43" t="str">
        <f t="shared" si="0"/>
        <v>0111111</v>
      </c>
      <c r="O27" s="203">
        <v>0.33333333333333331</v>
      </c>
      <c r="P27" s="203">
        <v>0.5</v>
      </c>
      <c r="Q27" s="203">
        <f>Planejamento2025[[#This Row],[Saída]]-Planejamento2025[[#This Row],[Entrada]]</f>
        <v>0.16666666666666669</v>
      </c>
      <c r="R27" s="331">
        <f>Planejamento2025[[#This Row],[Carga Horária]]/Q27</f>
        <v>10</v>
      </c>
      <c r="S27" s="204">
        <v>45754</v>
      </c>
      <c r="T27" s="204">
        <v>45833</v>
      </c>
      <c r="U27" s="332" t="s">
        <v>264</v>
      </c>
      <c r="V27" s="333">
        <v>16</v>
      </c>
      <c r="W27" s="334"/>
      <c r="X27" s="335" t="str">
        <f>IF(Planejamento2025[[#This Row],[Fonte Pagadora]]="Anna de Moura",(W27*H27*24),"R$ 0,00")</f>
        <v>R$ 0,00</v>
      </c>
      <c r="Y27" s="335"/>
      <c r="Z27" s="335">
        <f>INDEX(Tabela1[Valor RH / Executado],MATCH(Planejamento2025[[#This Row],[ID]],Tabela1[ID],0))</f>
        <v>0</v>
      </c>
      <c r="AA27" s="292">
        <f>INDEX(Tabela1[Valor Insumo / Executado],MATCH(Planejamento2025[[#This Row],[ID]],Tabela1[ID],0))</f>
        <v>0</v>
      </c>
      <c r="AB2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7" s="332" t="s">
        <v>15</v>
      </c>
      <c r="AD27" s="332" t="s">
        <v>15</v>
      </c>
      <c r="AE2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7" s="423"/>
      <c r="AG27" s="336"/>
    </row>
    <row r="28" spans="1:33" s="327" customFormat="1" ht="30" customHeight="1" x14ac:dyDescent="0.25">
      <c r="A2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PlaCon_T1</v>
      </c>
      <c r="B28" s="337" t="s">
        <v>254</v>
      </c>
      <c r="C28" s="47" t="s">
        <v>137</v>
      </c>
      <c r="D28" s="47" t="s">
        <v>230</v>
      </c>
      <c r="E28" s="337" t="s">
        <v>76</v>
      </c>
      <c r="F28" s="337" t="s">
        <v>397</v>
      </c>
      <c r="G28" s="337" t="s">
        <v>444</v>
      </c>
      <c r="H28" s="43">
        <v>1.6666666666666667</v>
      </c>
      <c r="I28" s="43"/>
      <c r="J28" s="43"/>
      <c r="K28" s="43"/>
      <c r="L28" s="43" t="s">
        <v>100</v>
      </c>
      <c r="M28" s="43"/>
      <c r="N28" s="43" t="str">
        <f t="shared" si="0"/>
        <v>1110111</v>
      </c>
      <c r="O28" s="43">
        <v>0.58333333333333337</v>
      </c>
      <c r="P28" s="43">
        <v>0.70833333333333337</v>
      </c>
      <c r="Q28" s="43">
        <f>Planejamento2025[[#This Row],[Saída]]-Planejamento2025[[#This Row],[Entrada]]</f>
        <v>0.125</v>
      </c>
      <c r="R28" s="130">
        <f>Planejamento2025[[#This Row],[Carga Horária]]/Q28</f>
        <v>13.333333333333334</v>
      </c>
      <c r="S28" s="44">
        <v>45757</v>
      </c>
      <c r="T28" s="44">
        <v>45890</v>
      </c>
      <c r="U28" s="338" t="s">
        <v>199</v>
      </c>
      <c r="V28" s="339">
        <v>16</v>
      </c>
      <c r="W28" s="340"/>
      <c r="X28" s="341" t="str">
        <f>IF(Planejamento2025[[#This Row],[Fonte Pagadora]]="Anna de Moura",(W28*H28*24),"R$ 0,00")</f>
        <v>R$ 0,00</v>
      </c>
      <c r="Y28" s="341">
        <v>0</v>
      </c>
      <c r="Z28" s="341">
        <f>INDEX(Tabela1[Valor RH / Executado],MATCH(Planejamento2025[[#This Row],[ID]],Tabela1[ID],0))</f>
        <v>0</v>
      </c>
      <c r="AA28" s="184">
        <f>INDEX(Tabela1[Valor Insumo / Executado],MATCH(Planejamento2025[[#This Row],[ID]],Tabela1[ID],0))</f>
        <v>0</v>
      </c>
      <c r="AB28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28" s="338" t="s">
        <v>15</v>
      </c>
      <c r="AD28" s="338" t="s">
        <v>15</v>
      </c>
      <c r="AE28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8" s="423" t="s">
        <v>418</v>
      </c>
      <c r="AG28" s="336"/>
    </row>
    <row r="29" spans="1:33" s="206" customFormat="1" ht="30" customHeight="1" x14ac:dyDescent="0.25">
      <c r="A2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Caf _T1</v>
      </c>
      <c r="B29" s="207" t="s">
        <v>216</v>
      </c>
      <c r="C29" s="202" t="s">
        <v>137</v>
      </c>
      <c r="D29" s="202" t="s">
        <v>228</v>
      </c>
      <c r="E29" s="207" t="s">
        <v>213</v>
      </c>
      <c r="F29" s="207" t="s">
        <v>401</v>
      </c>
      <c r="G29" s="207" t="s">
        <v>186</v>
      </c>
      <c r="H29" s="203">
        <v>0.625</v>
      </c>
      <c r="I29" s="203"/>
      <c r="J29" s="203" t="s">
        <v>100</v>
      </c>
      <c r="K29" s="203" t="s">
        <v>100</v>
      </c>
      <c r="L29" s="203"/>
      <c r="M29" s="203"/>
      <c r="N29" s="212" t="str">
        <f t="shared" si="0"/>
        <v>1001111</v>
      </c>
      <c r="O29" s="203">
        <v>0.79166666666666663</v>
      </c>
      <c r="P29" s="203">
        <v>0.91666666666666663</v>
      </c>
      <c r="Q29" s="203">
        <f>Planejamento2025[[#This Row],[Saída]]-Planejamento2025[[#This Row],[Entrada]]</f>
        <v>0.125</v>
      </c>
      <c r="R29" s="331">
        <f>Planejamento2025[[#This Row],[Carga Horária]]/Q29</f>
        <v>5</v>
      </c>
      <c r="S29" s="204">
        <v>45769</v>
      </c>
      <c r="T29" s="204">
        <v>45783</v>
      </c>
      <c r="U29" s="332" t="s">
        <v>198</v>
      </c>
      <c r="V29" s="333">
        <v>16</v>
      </c>
      <c r="W29" s="334">
        <v>47.5</v>
      </c>
      <c r="X29" s="335">
        <f>IF(Planejamento2025[[#This Row],[Fonte Pagadora]]="Anna de Moura",(W29*H29*24),"R$ 0,00")</f>
        <v>712.5</v>
      </c>
      <c r="Y29" s="335">
        <f>16*30</f>
        <v>480</v>
      </c>
      <c r="Z29" s="335">
        <f>INDEX(Tabela1[Valor RH / Executado],MATCH(Planejamento2025[[#This Row],[ID]],Tabela1[ID],0))</f>
        <v>712.5</v>
      </c>
      <c r="AA29" s="292">
        <f>INDEX(Tabela1[Valor Insumo / Executado],MATCH(Planejamento2025[[#This Row],[ID]],Tabela1[ID],0))</f>
        <v>247.09</v>
      </c>
      <c r="AB2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9" s="332" t="s">
        <v>5</v>
      </c>
      <c r="AD29" s="332" t="s">
        <v>5</v>
      </c>
      <c r="AE2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9" s="423"/>
      <c r="AG29" s="336"/>
    </row>
    <row r="30" spans="1:33" s="327" customFormat="1" ht="30" customHeight="1" x14ac:dyDescent="0.25">
      <c r="A3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PacOff_T3</v>
      </c>
      <c r="B30" s="337" t="s">
        <v>78</v>
      </c>
      <c r="C30" s="47" t="s">
        <v>252</v>
      </c>
      <c r="D30" s="47" t="s">
        <v>230</v>
      </c>
      <c r="E30" s="337" t="s">
        <v>74</v>
      </c>
      <c r="F30" s="337" t="s">
        <v>397</v>
      </c>
      <c r="G30" s="337" t="s">
        <v>347</v>
      </c>
      <c r="H30" s="43">
        <v>4</v>
      </c>
      <c r="I30" s="43" t="s">
        <v>100</v>
      </c>
      <c r="J30" s="43"/>
      <c r="K30" s="43"/>
      <c r="L30" s="43"/>
      <c r="M30" s="43" t="s">
        <v>100</v>
      </c>
      <c r="N30" s="43" t="str">
        <f t="shared" si="0"/>
        <v>0111011</v>
      </c>
      <c r="O30" s="43">
        <v>0.58333333333333337</v>
      </c>
      <c r="P30" s="43">
        <v>0.70833333333333337</v>
      </c>
      <c r="Q30" s="43">
        <f>Planejamento2025[[#This Row],[Saída]]-Planejamento2025[[#This Row],[Entrada]]</f>
        <v>0.125</v>
      </c>
      <c r="R30" s="130">
        <f>Planejamento2025[[#This Row],[Carga Horária]]/Q30</f>
        <v>32</v>
      </c>
      <c r="S30" s="44">
        <v>45772</v>
      </c>
      <c r="T30" s="44">
        <v>45905</v>
      </c>
      <c r="U30" s="338" t="s">
        <v>199</v>
      </c>
      <c r="V30" s="339">
        <v>16</v>
      </c>
      <c r="W30" s="340"/>
      <c r="X30" s="341" t="str">
        <f>IF(Planejamento2025[[#This Row],[Fonte Pagadora]]="Anna de Moura",(W30*H30*24),"R$ 0,00")</f>
        <v>R$ 0,00</v>
      </c>
      <c r="Y30" s="341"/>
      <c r="Z30" s="341">
        <f>INDEX(Tabela1[Valor RH / Executado],MATCH(Planejamento2025[[#This Row],[ID]],Tabela1[ID],0))</f>
        <v>0</v>
      </c>
      <c r="AA30" s="184">
        <f>INDEX(Tabela1[Valor Insumo / Executado],MATCH(Planejamento2025[[#This Row],[ID]],Tabela1[ID],0))</f>
        <v>0</v>
      </c>
      <c r="AB30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0" s="338" t="s">
        <v>15</v>
      </c>
      <c r="AD30" s="338" t="s">
        <v>15</v>
      </c>
      <c r="AE30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0" s="423" t="s">
        <v>420</v>
      </c>
      <c r="AG30" s="336"/>
    </row>
    <row r="31" spans="1:33" s="327" customFormat="1" ht="30" customHeight="1" x14ac:dyDescent="0.25">
      <c r="A3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AuxAdm_T2</v>
      </c>
      <c r="B31" s="337" t="s">
        <v>77</v>
      </c>
      <c r="C31" s="47" t="s">
        <v>138</v>
      </c>
      <c r="D31" s="47" t="s">
        <v>230</v>
      </c>
      <c r="E31" s="337" t="s">
        <v>76</v>
      </c>
      <c r="F31" s="337" t="s">
        <v>399</v>
      </c>
      <c r="G31" s="337" t="s">
        <v>444</v>
      </c>
      <c r="H31" s="43">
        <v>6.666666666666667</v>
      </c>
      <c r="I31" s="43"/>
      <c r="J31" s="43"/>
      <c r="K31" s="43" t="s">
        <v>100</v>
      </c>
      <c r="L31" s="43"/>
      <c r="M31" s="43" t="s">
        <v>100</v>
      </c>
      <c r="N31" s="43" t="str">
        <f t="shared" si="0"/>
        <v>1101011</v>
      </c>
      <c r="O31" s="43">
        <v>0.58333333333333337</v>
      </c>
      <c r="P31" s="43">
        <v>0.70833333333333337</v>
      </c>
      <c r="Q31" s="43">
        <f>Planejamento2025[[#This Row],[Saída]]-Planejamento2025[[#This Row],[Entrada]]</f>
        <v>0.125</v>
      </c>
      <c r="R31" s="130">
        <f>Planejamento2025[[#This Row],[Carga Horária]]/Q31</f>
        <v>53.333333333333336</v>
      </c>
      <c r="S31" s="44">
        <v>45777</v>
      </c>
      <c r="T31" s="44">
        <v>45980</v>
      </c>
      <c r="U31" s="338" t="s">
        <v>199</v>
      </c>
      <c r="V31" s="339">
        <v>19</v>
      </c>
      <c r="W31" s="340" t="s">
        <v>241</v>
      </c>
      <c r="X31" s="341" t="str">
        <f>IF(Planejamento2025[[#This Row],[Fonte Pagadora]]="Anna de Moura",(W31*H31*24),"R$ 0,00")</f>
        <v>R$ 0,00</v>
      </c>
      <c r="Y31" s="341"/>
      <c r="Z31" s="341">
        <f>INDEX(Tabela1[Valor RH / Executado],MATCH(Planejamento2025[[#This Row],[ID]],Tabela1[ID],0))</f>
        <v>0</v>
      </c>
      <c r="AA31" s="184">
        <f>INDEX(Tabela1[Valor Insumo / Executado],MATCH(Planejamento2025[[#This Row],[ID]],Tabela1[ID],0))</f>
        <v>0</v>
      </c>
      <c r="AB31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1" s="338" t="s">
        <v>15</v>
      </c>
      <c r="AD31" s="338" t="s">
        <v>15</v>
      </c>
      <c r="AE31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1" s="423" t="s">
        <v>418</v>
      </c>
      <c r="AG31" s="336"/>
    </row>
    <row r="32" spans="1:33" s="200" customFormat="1" ht="30" customHeight="1" x14ac:dyDescent="0.25">
      <c r="A32" s="342" t="s">
        <v>268</v>
      </c>
      <c r="B32" s="342" t="s">
        <v>267</v>
      </c>
      <c r="C32" s="176" t="s">
        <v>137</v>
      </c>
      <c r="D32" s="176" t="s">
        <v>228</v>
      </c>
      <c r="E32" s="342" t="s">
        <v>76</v>
      </c>
      <c r="F32" s="342" t="s">
        <v>401</v>
      </c>
      <c r="G32" s="342" t="s">
        <v>269</v>
      </c>
      <c r="H32" s="175">
        <v>5.25</v>
      </c>
      <c r="I32" s="175"/>
      <c r="J32" s="175" t="s">
        <v>100</v>
      </c>
      <c r="K32" s="175" t="s">
        <v>100</v>
      </c>
      <c r="L32" s="175" t="s">
        <v>100</v>
      </c>
      <c r="M32" s="175"/>
      <c r="N32" s="175" t="str">
        <f t="shared" si="0"/>
        <v>1000111</v>
      </c>
      <c r="O32" s="175">
        <v>0.58333333333333337</v>
      </c>
      <c r="P32" s="175">
        <v>0.70833333333333337</v>
      </c>
      <c r="Q32" s="175">
        <f>Planejamento2025[[#This Row],[Saída]]-Planejamento2025[[#This Row],[Entrada]]</f>
        <v>0.125</v>
      </c>
      <c r="R32" s="177">
        <f>Planejamento2025[[#This Row],[Carga Horária]]/Q32</f>
        <v>42</v>
      </c>
      <c r="S32" s="178">
        <v>45783</v>
      </c>
      <c r="T32" s="178">
        <v>45869</v>
      </c>
      <c r="U32" s="343" t="s">
        <v>270</v>
      </c>
      <c r="V32" s="344">
        <v>25</v>
      </c>
      <c r="W32" s="345" t="s">
        <v>241</v>
      </c>
      <c r="X32" s="346" t="str">
        <f>IF(Planejamento2025[[#This Row],[Fonte Pagadora]]="Anna de Moura",(W32*H32*24),"R$ 0,00")</f>
        <v>R$ 0,00</v>
      </c>
      <c r="Y32" s="346"/>
      <c r="Z32" s="346">
        <f>INDEX(Tabela1[Valor RH / Executado],MATCH(Planejamento2025[[#This Row],[ID]],Tabela1[ID],0))</f>
        <v>0</v>
      </c>
      <c r="AA32" s="293">
        <f>INDEX(Tabela1[Valor Insumo / Executado],MATCH(Planejamento2025[[#This Row],[ID]],Tabela1[ID],0))</f>
        <v>0</v>
      </c>
      <c r="AB32" s="199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2" s="343" t="s">
        <v>271</v>
      </c>
      <c r="AD32" s="343" t="s">
        <v>271</v>
      </c>
      <c r="AE3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Outros</v>
      </c>
      <c r="AF32" s="423" t="s">
        <v>422</v>
      </c>
      <c r="AG32" s="336"/>
    </row>
    <row r="33" spans="1:33" s="206" customFormat="1" ht="30" customHeight="1" x14ac:dyDescent="0.25">
      <c r="A3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Por _T1</v>
      </c>
      <c r="B33" s="207" t="s">
        <v>178</v>
      </c>
      <c r="C33" s="202" t="s">
        <v>137</v>
      </c>
      <c r="D33" s="202" t="s">
        <v>228</v>
      </c>
      <c r="E33" s="207" t="s">
        <v>76</v>
      </c>
      <c r="F33" s="207" t="s">
        <v>401</v>
      </c>
      <c r="G33" s="207" t="s">
        <v>188</v>
      </c>
      <c r="H33" s="203">
        <v>1.25</v>
      </c>
      <c r="I33" s="203"/>
      <c r="J33" s="203" t="s">
        <v>100</v>
      </c>
      <c r="K33" s="203"/>
      <c r="L33" s="203" t="s">
        <v>100</v>
      </c>
      <c r="M33" s="203"/>
      <c r="N33" s="174" t="str">
        <f t="shared" si="0"/>
        <v>1010111</v>
      </c>
      <c r="O33" s="203">
        <v>0.79166666666666663</v>
      </c>
      <c r="P33" s="203">
        <v>0.91666666666666663</v>
      </c>
      <c r="Q33" s="203">
        <f>Planejamento2025[[#This Row],[Saída]]-Planejamento2025[[#This Row],[Entrada]]</f>
        <v>0.125</v>
      </c>
      <c r="R33" s="331">
        <f>Planejamento2025[[#This Row],[Carga Horária]]/Q33</f>
        <v>10</v>
      </c>
      <c r="S33" s="204">
        <v>45790</v>
      </c>
      <c r="T33" s="204">
        <v>45820</v>
      </c>
      <c r="U33" s="332" t="s">
        <v>198</v>
      </c>
      <c r="V33" s="333">
        <v>20</v>
      </c>
      <c r="W33" s="334">
        <v>47.5</v>
      </c>
      <c r="X33" s="335">
        <f>IF(Planejamento2025[[#This Row],[Fonte Pagadora]]="Anna de Moura",(W33*H33*24),"R$ 0,00")</f>
        <v>1425</v>
      </c>
      <c r="Y33" s="335"/>
      <c r="Z33" s="335">
        <f>INDEX(Tabela1[Valor RH / Executado],MATCH(Planejamento2025[[#This Row],[ID]],Tabela1[ID],0))</f>
        <v>1425</v>
      </c>
      <c r="AA33" s="292">
        <f>INDEX(Tabela1[Valor Insumo / Executado],MATCH(Planejamento2025[[#This Row],[ID]],Tabela1[ID],0))</f>
        <v>0</v>
      </c>
      <c r="AB3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3" s="332" t="s">
        <v>5</v>
      </c>
      <c r="AD33" s="332" t="s">
        <v>5</v>
      </c>
      <c r="AE3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3" s="423"/>
      <c r="AG33" s="336"/>
    </row>
    <row r="34" spans="1:33" s="206" customFormat="1" ht="30" customHeight="1" x14ac:dyDescent="0.25">
      <c r="A3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MicPow_T1</v>
      </c>
      <c r="B34" s="207" t="s">
        <v>87</v>
      </c>
      <c r="C34" s="202" t="s">
        <v>137</v>
      </c>
      <c r="D34" s="202" t="s">
        <v>228</v>
      </c>
      <c r="E34" s="207" t="s">
        <v>74</v>
      </c>
      <c r="F34" s="207" t="s">
        <v>397</v>
      </c>
      <c r="G34" s="207" t="s">
        <v>187</v>
      </c>
      <c r="H34" s="203">
        <v>1.3333333333333333</v>
      </c>
      <c r="I34" s="203"/>
      <c r="J34" s="203" t="s">
        <v>139</v>
      </c>
      <c r="K34" s="203" t="s">
        <v>100</v>
      </c>
      <c r="L34" s="203" t="s">
        <v>139</v>
      </c>
      <c r="M34" s="203"/>
      <c r="N34" s="174" t="str">
        <f t="shared" ref="N34:N65" si="1">IF(I34="X","0","1")&amp;IF(J34="X","0","1")&amp;IF(K34="X","0","1")&amp;IF(L34="X","0","1")&amp;IF(M34="X","0","1")&amp;"11"</f>
        <v>1000111</v>
      </c>
      <c r="O34" s="203">
        <v>0.79166666666666663</v>
      </c>
      <c r="P34" s="203">
        <v>0.91666666666666663</v>
      </c>
      <c r="Q34" s="203">
        <f>Planejamento2025[[#This Row],[Saída]]-Planejamento2025[[#This Row],[Entrada]]</f>
        <v>0.125</v>
      </c>
      <c r="R34" s="331">
        <f>Planejamento2025[[#This Row],[Carga Horária]]/Q34</f>
        <v>10.666666666666666</v>
      </c>
      <c r="S34" s="204">
        <v>45790</v>
      </c>
      <c r="T34" s="204">
        <v>45812</v>
      </c>
      <c r="U34" s="332" t="s">
        <v>199</v>
      </c>
      <c r="V34" s="333">
        <v>16</v>
      </c>
      <c r="W34" s="334">
        <v>47.5</v>
      </c>
      <c r="X34" s="335">
        <f>IF(Planejamento2025[[#This Row],[Fonte Pagadora]]="Anna de Moura",(W34*H34*24),"R$ 0,00")</f>
        <v>1520</v>
      </c>
      <c r="Y34" s="335"/>
      <c r="Z34" s="335">
        <f>INDEX(Tabela1[Valor RH / Executado],MATCH(Planejamento2025[[#This Row],[ID]],Tabela1[ID],0))</f>
        <v>1282.5</v>
      </c>
      <c r="AA34" s="292">
        <f>INDEX(Tabela1[Valor Insumo / Executado],MATCH(Planejamento2025[[#This Row],[ID]],Tabela1[ID],0))</f>
        <v>0</v>
      </c>
      <c r="AB3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4" s="332" t="s">
        <v>5</v>
      </c>
      <c r="AD34" s="332" t="s">
        <v>15</v>
      </c>
      <c r="AE3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34" s="423"/>
      <c r="AG34" s="336"/>
    </row>
    <row r="35" spans="1:33" s="303" customFormat="1" ht="30" customHeight="1" x14ac:dyDescent="0.25">
      <c r="A3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_T2</v>
      </c>
      <c r="B35" s="207" t="s">
        <v>86</v>
      </c>
      <c r="C35" s="202" t="s">
        <v>138</v>
      </c>
      <c r="D35" s="202" t="s">
        <v>228</v>
      </c>
      <c r="E35" s="207" t="s">
        <v>76</v>
      </c>
      <c r="F35" s="207" t="s">
        <v>397</v>
      </c>
      <c r="G35" s="207" t="s">
        <v>246</v>
      </c>
      <c r="H35" s="203">
        <v>1</v>
      </c>
      <c r="I35" s="203"/>
      <c r="J35" s="203" t="s">
        <v>100</v>
      </c>
      <c r="K35" s="203"/>
      <c r="L35" s="203" t="s">
        <v>100</v>
      </c>
      <c r="M35" s="203"/>
      <c r="N35" s="218" t="str">
        <f t="shared" si="1"/>
        <v>1010111</v>
      </c>
      <c r="O35" s="203">
        <v>0.79166666666666663</v>
      </c>
      <c r="P35" s="203">
        <v>0.91666666666666663</v>
      </c>
      <c r="Q35" s="203">
        <f>Planejamento2025[[#This Row],[Saída]]-Planejamento2025[[#This Row],[Entrada]]</f>
        <v>0.125</v>
      </c>
      <c r="R35" s="331">
        <f>Planejamento2025[[#This Row],[Carga Horária]]/Q35</f>
        <v>8</v>
      </c>
      <c r="S35" s="204">
        <v>45790</v>
      </c>
      <c r="T35" s="204">
        <v>45813</v>
      </c>
      <c r="U35" s="332" t="s">
        <v>199</v>
      </c>
      <c r="V35" s="333">
        <v>20</v>
      </c>
      <c r="W35" s="334" t="s">
        <v>241</v>
      </c>
      <c r="X35" s="335" t="str">
        <f>IF(Planejamento2025[[#This Row],[Fonte Pagadora]]="Anna de Moura",(W35*H35*24),"R$ 0,00")</f>
        <v>R$ 0,00</v>
      </c>
      <c r="Y35" s="335"/>
      <c r="Z35" s="335">
        <f>INDEX(Tabela1[Valor RH / Executado],MATCH(Planejamento2025[[#This Row],[ID]],Tabela1[ID],0))</f>
        <v>0</v>
      </c>
      <c r="AA35" s="292">
        <f>INDEX(Tabela1[Valor Insumo / Executado],MATCH(Planejamento2025[[#This Row],[ID]],Tabela1[ID],0))</f>
        <v>0</v>
      </c>
      <c r="AB3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5" s="332" t="s">
        <v>15</v>
      </c>
      <c r="AD35" s="332" t="s">
        <v>15</v>
      </c>
      <c r="AE3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5" s="423"/>
      <c r="AG35" s="347"/>
    </row>
    <row r="36" spans="1:33" s="303" customFormat="1" ht="30" customHeight="1" x14ac:dyDescent="0.25">
      <c r="A3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_T1</v>
      </c>
      <c r="B36" s="207" t="s">
        <v>266</v>
      </c>
      <c r="C36" s="202" t="s">
        <v>137</v>
      </c>
      <c r="D36" s="202" t="s">
        <v>228</v>
      </c>
      <c r="E36" s="207" t="s">
        <v>213</v>
      </c>
      <c r="F36" s="207" t="s">
        <v>401</v>
      </c>
      <c r="G36" s="207" t="s">
        <v>186</v>
      </c>
      <c r="H36" s="203">
        <v>0.625</v>
      </c>
      <c r="I36" s="203"/>
      <c r="J36" s="203" t="s">
        <v>100</v>
      </c>
      <c r="K36" s="203" t="s">
        <v>100</v>
      </c>
      <c r="L36" s="203"/>
      <c r="M36" s="203"/>
      <c r="N36" s="212" t="str">
        <f t="shared" si="1"/>
        <v>1001111</v>
      </c>
      <c r="O36" s="203">
        <v>0.79166666666666663</v>
      </c>
      <c r="P36" s="203">
        <v>0.91666666666666663</v>
      </c>
      <c r="Q36" s="203">
        <f>Planejamento2025[[#This Row],[Saída]]-Planejamento2025[[#This Row],[Entrada]]</f>
        <v>0.125</v>
      </c>
      <c r="R36" s="331">
        <f>Planejamento2025[[#This Row],[Carga Horária]]/Q36</f>
        <v>5</v>
      </c>
      <c r="S36" s="204">
        <v>45790</v>
      </c>
      <c r="T36" s="204">
        <v>45804</v>
      </c>
      <c r="U36" s="332" t="s">
        <v>198</v>
      </c>
      <c r="V36" s="333">
        <v>16</v>
      </c>
      <c r="W36" s="334">
        <v>47.5</v>
      </c>
      <c r="X36" s="335">
        <f>IF(Planejamento2025[[#This Row],[Fonte Pagadora]]="Anna de Moura",(W36*H36*24),"R$ 0,00")</f>
        <v>712.5</v>
      </c>
      <c r="Y36" s="335">
        <f>15*30</f>
        <v>450</v>
      </c>
      <c r="Z36" s="335">
        <f>INDEX(Tabela1[Valor RH / Executado],MATCH(Planejamento2025[[#This Row],[ID]],Tabela1[ID],0))</f>
        <v>712.5</v>
      </c>
      <c r="AA36" s="292">
        <f>INDEX(Tabela1[Valor Insumo / Executado],MATCH(Planejamento2025[[#This Row],[ID]],Tabela1[ID],0))</f>
        <v>540.92000000000007</v>
      </c>
      <c r="AB3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6" s="332" t="s">
        <v>5</v>
      </c>
      <c r="AD36" s="332" t="s">
        <v>5</v>
      </c>
      <c r="AE3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6" s="423"/>
      <c r="AG36" s="347"/>
    </row>
    <row r="37" spans="1:33" s="303" customFormat="1" ht="30" customHeight="1" x14ac:dyDescent="0.25">
      <c r="A3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DesSob_T1</v>
      </c>
      <c r="B37" s="207" t="s">
        <v>148</v>
      </c>
      <c r="C37" s="202" t="s">
        <v>137</v>
      </c>
      <c r="D37" s="202" t="s">
        <v>230</v>
      </c>
      <c r="E37" s="207" t="s">
        <v>179</v>
      </c>
      <c r="F37" s="207" t="s">
        <v>401</v>
      </c>
      <c r="G37" s="207" t="s">
        <v>191</v>
      </c>
      <c r="H37" s="203">
        <v>0.83333333333333337</v>
      </c>
      <c r="I37" s="203"/>
      <c r="J37" s="203" t="s">
        <v>100</v>
      </c>
      <c r="K37" s="203"/>
      <c r="L37" s="203"/>
      <c r="M37" s="203"/>
      <c r="N37" s="212" t="str">
        <f t="shared" si="1"/>
        <v>1011111</v>
      </c>
      <c r="O37" s="203">
        <v>0.58333333333333337</v>
      </c>
      <c r="P37" s="203">
        <v>0.70833333333333337</v>
      </c>
      <c r="Q37" s="203">
        <f>Planejamento2025[[#This Row],[Saída]]-Planejamento2025[[#This Row],[Entrada]]</f>
        <v>0.125</v>
      </c>
      <c r="R37" s="331">
        <f>Planejamento2025[[#This Row],[Carga Horária]]/Q37</f>
        <v>6.666666666666667</v>
      </c>
      <c r="S37" s="204">
        <v>45790</v>
      </c>
      <c r="T37" s="204">
        <f>WORKDAY.INTL(S37,R37,Planejamento2025[[#This Row],[Padrão]],Calendário!$R$4:$R$35)</f>
        <v>45832</v>
      </c>
      <c r="U37" s="332" t="s">
        <v>198</v>
      </c>
      <c r="V37" s="333">
        <v>20</v>
      </c>
      <c r="W37" s="334">
        <v>47.5</v>
      </c>
      <c r="X37" s="335">
        <f>IF(Planejamento2025[[#This Row],[Fonte Pagadora]]="Anna de Moura",(W37*H37*24),"R$ 0,00")</f>
        <v>950</v>
      </c>
      <c r="Y37" s="335">
        <f>20*30</f>
        <v>600</v>
      </c>
      <c r="Z37" s="335">
        <f>INDEX(Tabela1[Valor RH / Executado],MATCH(Planejamento2025[[#This Row],[ID]],Tabela1[ID],0))</f>
        <v>997.5</v>
      </c>
      <c r="AA37" s="292">
        <f>INDEX(Tabela1[Valor Insumo / Executado],MATCH(Planejamento2025[[#This Row],[ID]],Tabela1[ID],0))</f>
        <v>0</v>
      </c>
      <c r="AB3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7" s="332" t="s">
        <v>5</v>
      </c>
      <c r="AD37" s="332" t="s">
        <v>5</v>
      </c>
      <c r="AE3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7" s="423"/>
      <c r="AG37" s="347"/>
    </row>
    <row r="38" spans="1:33" s="410" customFormat="1" ht="30" customHeight="1" x14ac:dyDescent="0.25">
      <c r="A38" s="401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ComElé_T1</v>
      </c>
      <c r="B38" s="401" t="s">
        <v>89</v>
      </c>
      <c r="C38" s="402" t="s">
        <v>137</v>
      </c>
      <c r="D38" s="402" t="s">
        <v>230</v>
      </c>
      <c r="E38" s="401" t="s">
        <v>90</v>
      </c>
      <c r="F38" s="401" t="s">
        <v>397</v>
      </c>
      <c r="G38" s="401" t="s">
        <v>265</v>
      </c>
      <c r="H38" s="134">
        <v>5</v>
      </c>
      <c r="I38" s="134" t="s">
        <v>100</v>
      </c>
      <c r="J38" s="134"/>
      <c r="K38" s="134"/>
      <c r="L38" s="134" t="s">
        <v>100</v>
      </c>
      <c r="M38" s="134"/>
      <c r="N38" s="134" t="str">
        <f t="shared" si="1"/>
        <v>0110111</v>
      </c>
      <c r="O38" s="134">
        <v>0.58333333333333337</v>
      </c>
      <c r="P38" s="134">
        <v>0.70833333333333337</v>
      </c>
      <c r="Q38" s="134">
        <f>Planejamento2025[[#This Row],[Saída]]-Planejamento2025[[#This Row],[Entrada]]</f>
        <v>0.125</v>
      </c>
      <c r="R38" s="403">
        <f>Planejamento2025[[#This Row],[Carga Horária]]/Q38</f>
        <v>40</v>
      </c>
      <c r="S38" s="404">
        <v>45796</v>
      </c>
      <c r="T38" s="404">
        <v>45960</v>
      </c>
      <c r="U38" s="405" t="s">
        <v>198</v>
      </c>
      <c r="V38" s="406">
        <v>16</v>
      </c>
      <c r="W38" s="416">
        <v>0</v>
      </c>
      <c r="X38" s="407" t="str">
        <f>IF(Planejamento2025[[#This Row],[Fonte Pagadora]]="Anna de Moura",(W38*H38*24),"R$ 0,00")</f>
        <v>R$ 0,00</v>
      </c>
      <c r="Y38" s="407"/>
      <c r="Z38" s="407">
        <f>INDEX(Tabela1[Valor RH / Executado],MATCH(Planejamento2025[[#This Row],[ID]],Tabela1[ID],0))</f>
        <v>0</v>
      </c>
      <c r="AA38" s="408">
        <f>INDEX(Tabela1[Valor Insumo / Executado],MATCH(Planejamento2025[[#This Row],[ID]],Tabela1[ID],0))</f>
        <v>0</v>
      </c>
      <c r="AB38" s="417" t="s">
        <v>440</v>
      </c>
      <c r="AC38" s="405" t="s">
        <v>15</v>
      </c>
      <c r="AD38" s="405" t="s">
        <v>15</v>
      </c>
      <c r="AE38" s="42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8" s="424"/>
      <c r="AG38" s="409"/>
    </row>
    <row r="39" spans="1:33" s="388" customFormat="1" ht="30" customHeight="1" x14ac:dyDescent="0.25">
      <c r="A3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FerQua_T1</v>
      </c>
      <c r="B39" s="207" t="s">
        <v>274</v>
      </c>
      <c r="C39" s="202" t="s">
        <v>137</v>
      </c>
      <c r="D39" s="202" t="s">
        <v>230</v>
      </c>
      <c r="E39" s="207"/>
      <c r="F39" s="207" t="s">
        <v>397</v>
      </c>
      <c r="G39" s="207" t="s">
        <v>273</v>
      </c>
      <c r="H39" s="203">
        <v>1.5</v>
      </c>
      <c r="I39" s="203"/>
      <c r="J39" s="203" t="s">
        <v>100</v>
      </c>
      <c r="K39" s="203" t="s">
        <v>100</v>
      </c>
      <c r="L39" s="203"/>
      <c r="M39" s="203"/>
      <c r="N39" s="43" t="str">
        <f t="shared" si="1"/>
        <v>1001111</v>
      </c>
      <c r="O39" s="203">
        <v>0.5625</v>
      </c>
      <c r="P39" s="203">
        <v>0.6875</v>
      </c>
      <c r="Q39" s="203">
        <f>Planejamento2025[[#This Row],[Saída]]-Planejamento2025[[#This Row],[Entrada]]</f>
        <v>0.125</v>
      </c>
      <c r="R39" s="331">
        <f>Planejamento2025[[#This Row],[Carga Horária]]/Q39</f>
        <v>12</v>
      </c>
      <c r="S39" s="204">
        <v>45797</v>
      </c>
      <c r="T39" s="204">
        <v>45833</v>
      </c>
      <c r="U39" s="332" t="s">
        <v>199</v>
      </c>
      <c r="V39" s="333">
        <v>16</v>
      </c>
      <c r="W39" s="334">
        <v>0</v>
      </c>
      <c r="X39" s="335" t="str">
        <f>IF(Planejamento2025[[#This Row],[Fonte Pagadora]]="Anna de Moura",(W39*H39*24),"R$ 0,00")</f>
        <v>R$ 0,00</v>
      </c>
      <c r="Y39" s="335"/>
      <c r="Z39" s="335">
        <f>INDEX(Tabela1[Valor RH / Executado],MATCH(Planejamento2025[[#This Row],[ID]],Tabela1[ID],0))</f>
        <v>0</v>
      </c>
      <c r="AA39" s="292">
        <f>INDEX(Tabela1[Valor Insumo / Executado],MATCH(Planejamento2025[[#This Row],[ID]],Tabela1[ID],0))</f>
        <v>0</v>
      </c>
      <c r="AB3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9" s="332" t="s">
        <v>15</v>
      </c>
      <c r="AD39" s="332" t="s">
        <v>15</v>
      </c>
      <c r="AE3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9" s="423"/>
      <c r="AG39" s="347"/>
    </row>
    <row r="40" spans="1:33" s="303" customFormat="1" ht="30" customHeight="1" x14ac:dyDescent="0.25">
      <c r="A4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MasFre_T1</v>
      </c>
      <c r="B40" s="207" t="s">
        <v>217</v>
      </c>
      <c r="C40" s="202" t="s">
        <v>137</v>
      </c>
      <c r="D40" s="202" t="s">
        <v>228</v>
      </c>
      <c r="E40" s="207" t="s">
        <v>213</v>
      </c>
      <c r="F40" s="207" t="s">
        <v>401</v>
      </c>
      <c r="G40" s="207" t="s">
        <v>186</v>
      </c>
      <c r="H40" s="203">
        <v>0.625</v>
      </c>
      <c r="I40" s="203"/>
      <c r="J40" s="203" t="s">
        <v>100</v>
      </c>
      <c r="K40" s="203" t="s">
        <v>100</v>
      </c>
      <c r="L40" s="203"/>
      <c r="M40" s="203"/>
      <c r="N40" s="43" t="str">
        <f t="shared" si="1"/>
        <v>1001111</v>
      </c>
      <c r="O40" s="203">
        <v>0.79166666666666663</v>
      </c>
      <c r="P40" s="203">
        <v>0.91666666666666663</v>
      </c>
      <c r="Q40" s="203">
        <f>Planejamento2025[[#This Row],[Saída]]-Planejamento2025[[#This Row],[Entrada]]</f>
        <v>0.125</v>
      </c>
      <c r="R40" s="331">
        <f>Planejamento2025[[#This Row],[Carga Horária]]/Q40</f>
        <v>5</v>
      </c>
      <c r="S40" s="204">
        <v>45811</v>
      </c>
      <c r="T40" s="204">
        <v>45825</v>
      </c>
      <c r="U40" s="332" t="s">
        <v>198</v>
      </c>
      <c r="V40" s="333">
        <v>16</v>
      </c>
      <c r="W40" s="334">
        <v>47.5</v>
      </c>
      <c r="X40" s="335">
        <f>IF(Planejamento2025[[#This Row],[Fonte Pagadora]]="Anna de Moura",(W40*H40*24),"R$ 0,00")</f>
        <v>712.5</v>
      </c>
      <c r="Y40" s="335"/>
      <c r="Z40" s="335">
        <f>INDEX(Tabela1[Valor RH / Executado],MATCH(Planejamento2025[[#This Row],[ID]],Tabela1[ID],0))</f>
        <v>712.5</v>
      </c>
      <c r="AA40" s="292">
        <f>INDEX(Tabela1[Valor Insumo / Executado],MATCH(Planejamento2025[[#This Row],[ID]],Tabela1[ID],0))</f>
        <v>0</v>
      </c>
      <c r="AB4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0" s="332" t="s">
        <v>5</v>
      </c>
      <c r="AD40" s="332" t="s">
        <v>5</v>
      </c>
      <c r="AE40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0" s="423"/>
      <c r="AG40" s="347"/>
    </row>
    <row r="41" spans="1:33" s="326" customFormat="1" ht="30" customHeight="1" x14ac:dyDescent="0.25">
      <c r="A4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Opede _T1</v>
      </c>
      <c r="B41" s="337" t="s">
        <v>373</v>
      </c>
      <c r="C41" s="47" t="s">
        <v>137</v>
      </c>
      <c r="D41" s="47" t="s">
        <v>230</v>
      </c>
      <c r="E41" s="337" t="s">
        <v>365</v>
      </c>
      <c r="F41" s="337" t="s">
        <v>399</v>
      </c>
      <c r="G41" s="337" t="s">
        <v>251</v>
      </c>
      <c r="H41" s="43">
        <v>6.666666666666667</v>
      </c>
      <c r="I41" s="43"/>
      <c r="J41" s="43" t="s">
        <v>100</v>
      </c>
      <c r="K41" s="43"/>
      <c r="L41" s="43" t="s">
        <v>100</v>
      </c>
      <c r="M41" s="43"/>
      <c r="N41" s="43" t="str">
        <f t="shared" si="1"/>
        <v>1010111</v>
      </c>
      <c r="O41" s="43">
        <v>0.54166666666666663</v>
      </c>
      <c r="P41" s="43">
        <v>0.70833333333333337</v>
      </c>
      <c r="Q41" s="43">
        <f>Planejamento2025[[#This Row],[Saída]]-Planejamento2025[[#This Row],[Entrada]]</f>
        <v>0.16666666666666674</v>
      </c>
      <c r="R41" s="130">
        <f>Planejamento2025[[#This Row],[Carga Horária]]/Q41</f>
        <v>39.999999999999986</v>
      </c>
      <c r="S41" s="44">
        <v>45825</v>
      </c>
      <c r="T41" s="44">
        <v>45979</v>
      </c>
      <c r="U41" s="338" t="s">
        <v>199</v>
      </c>
      <c r="V41" s="339">
        <v>16</v>
      </c>
      <c r="W41" s="348" t="s">
        <v>241</v>
      </c>
      <c r="X41" s="341" t="str">
        <f>IF(Planejamento2025[[#This Row],[Fonte Pagadora]]="Anna de Moura",(W41*H41*24),"R$ 0,00")</f>
        <v>R$ 0,00</v>
      </c>
      <c r="Y41" s="349"/>
      <c r="Z41" s="335">
        <f>INDEX(Tabela1[Valor RH / Executado],MATCH(Planejamento2025[[#This Row],[ID]],Tabela1[ID],0))</f>
        <v>0</v>
      </c>
      <c r="AA41" s="184">
        <f>INDEX(Tabela1[Valor Insumo / Executado],MATCH(Planejamento2025[[#This Row],[ID]],Tabela1[ID],0))</f>
        <v>0</v>
      </c>
      <c r="AB41" s="306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1" s="338" t="s">
        <v>15</v>
      </c>
      <c r="AD41" s="338" t="s">
        <v>15</v>
      </c>
      <c r="AE41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1" s="423" t="s">
        <v>419</v>
      </c>
      <c r="AG41" s="347"/>
    </row>
    <row r="42" spans="1:33" s="326" customFormat="1" ht="30" customHeight="1" x14ac:dyDescent="0.25">
      <c r="A4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PlaCon_T2</v>
      </c>
      <c r="B42" s="337" t="s">
        <v>254</v>
      </c>
      <c r="C42" s="47" t="s">
        <v>138</v>
      </c>
      <c r="D42" s="47" t="s">
        <v>230</v>
      </c>
      <c r="E42" s="337" t="s">
        <v>365</v>
      </c>
      <c r="F42" s="337" t="s">
        <v>397</v>
      </c>
      <c r="G42" s="337" t="s">
        <v>443</v>
      </c>
      <c r="H42" s="43">
        <v>1.6666666666666667</v>
      </c>
      <c r="I42" s="43"/>
      <c r="J42" s="43" t="s">
        <v>100</v>
      </c>
      <c r="K42" s="43"/>
      <c r="L42" s="43" t="s">
        <v>100</v>
      </c>
      <c r="M42" s="43"/>
      <c r="N42" s="43" t="str">
        <f t="shared" si="1"/>
        <v>1010111</v>
      </c>
      <c r="O42" s="43">
        <v>0.58333333333333337</v>
      </c>
      <c r="P42" s="43">
        <v>0.70833333333333337</v>
      </c>
      <c r="Q42" s="43">
        <f>Planejamento2025[[#This Row],[Saída]]-Planejamento2025[[#This Row],[Entrada]]</f>
        <v>0.125</v>
      </c>
      <c r="R42" s="130">
        <f>Planejamento2025[[#This Row],[Carga Horária]]/Q42</f>
        <v>13.333333333333334</v>
      </c>
      <c r="S42" s="44">
        <v>45855</v>
      </c>
      <c r="T42" s="44">
        <v>45902</v>
      </c>
      <c r="U42" s="338" t="s">
        <v>199</v>
      </c>
      <c r="V42" s="339">
        <v>16</v>
      </c>
      <c r="W42" s="340">
        <v>0</v>
      </c>
      <c r="X42" s="341" t="str">
        <f>IF(Planejamento2025[[#This Row],[Fonte Pagadora]]="Anna de Moura",(W42*H42*24),"R$ 0,00")</f>
        <v>R$ 0,00</v>
      </c>
      <c r="Y42" s="341"/>
      <c r="Z42" s="335">
        <f>INDEX(Tabela1[Valor RH / Executado],MATCH(Planejamento2025[[#This Row],[ID]],Tabela1[ID],0))</f>
        <v>0</v>
      </c>
      <c r="AA42" s="184">
        <f>INDEX(Tabela1[Valor Insumo / Executado],MATCH(Planejamento2025[[#This Row],[ID]],Tabela1[ID],0))</f>
        <v>0</v>
      </c>
      <c r="AB42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2" s="338" t="s">
        <v>15</v>
      </c>
      <c r="AD42" s="338" t="s">
        <v>15</v>
      </c>
      <c r="AE4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2" s="423" t="s">
        <v>416</v>
      </c>
      <c r="AG42" s="347"/>
    </row>
    <row r="43" spans="1:33" s="410" customFormat="1" ht="30" customHeight="1" x14ac:dyDescent="0.25">
      <c r="A43" s="337" t="s">
        <v>302</v>
      </c>
      <c r="B43" s="337" t="s">
        <v>231</v>
      </c>
      <c r="C43" s="47" t="s">
        <v>137</v>
      </c>
      <c r="D43" s="47" t="s">
        <v>228</v>
      </c>
      <c r="E43" s="337"/>
      <c r="F43" s="337"/>
      <c r="G43" s="337" t="s">
        <v>209</v>
      </c>
      <c r="H43" s="43">
        <v>2.1666666666666665</v>
      </c>
      <c r="I43" s="43"/>
      <c r="J43" s="43" t="s">
        <v>100</v>
      </c>
      <c r="K43" s="43"/>
      <c r="L43" s="43"/>
      <c r="M43" s="43"/>
      <c r="N43" s="230" t="str">
        <f t="shared" si="1"/>
        <v>1011111</v>
      </c>
      <c r="O43" s="43">
        <v>0.79166666666666663</v>
      </c>
      <c r="P43" s="43">
        <v>0.89583333333333337</v>
      </c>
      <c r="Q43" s="43">
        <f>Planejamento2025[[#This Row],[Saída]]-Planejamento2025[[#This Row],[Entrada]]</f>
        <v>0.10416666666666674</v>
      </c>
      <c r="R43" s="130">
        <f>Planejamento2025[[#This Row],[Carga Horária]]/Q43</f>
        <v>20.799999999999983</v>
      </c>
      <c r="S43" s="44">
        <v>45860</v>
      </c>
      <c r="T43" s="44">
        <f>WORKDAY.INTL(S43,R43,Planejamento2025[[#This Row],[Padrão]],Calendário!$R$4:$R$35)</f>
        <v>46000</v>
      </c>
      <c r="U43" s="338" t="s">
        <v>232</v>
      </c>
      <c r="V43" s="339"/>
      <c r="W43" s="348"/>
      <c r="X43" s="341">
        <v>12896.25</v>
      </c>
      <c r="Y43" s="349"/>
      <c r="Z43" s="418"/>
      <c r="AA43" s="184">
        <f>INDEX(Tabela1[Valor Insumo / Executado],MATCH(Planejamento2025[[#This Row],[ID]],Tabela1[ID],0))</f>
        <v>0</v>
      </c>
      <c r="AB4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3" s="338" t="s">
        <v>5</v>
      </c>
      <c r="AD43" s="338" t="s">
        <v>5</v>
      </c>
      <c r="AE4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3" s="423" t="s">
        <v>437</v>
      </c>
      <c r="AG43" s="336"/>
    </row>
    <row r="44" spans="1:33" s="231" customFormat="1" ht="30" customHeight="1" x14ac:dyDescent="0.25">
      <c r="A4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ExcAva_T1</v>
      </c>
      <c r="B44" s="337" t="s">
        <v>366</v>
      </c>
      <c r="C44" s="47" t="s">
        <v>137</v>
      </c>
      <c r="D44" s="47" t="s">
        <v>228</v>
      </c>
      <c r="E44" s="337" t="s">
        <v>74</v>
      </c>
      <c r="F44" s="337" t="s">
        <v>397</v>
      </c>
      <c r="G44" s="337" t="s">
        <v>356</v>
      </c>
      <c r="H44" s="43">
        <v>1.6666666666666667</v>
      </c>
      <c r="I44" s="43"/>
      <c r="J44" s="43" t="s">
        <v>100</v>
      </c>
      <c r="K44" s="43"/>
      <c r="L44" s="43" t="s">
        <v>100</v>
      </c>
      <c r="M44" s="43"/>
      <c r="N44" s="43" t="str">
        <f t="shared" si="1"/>
        <v>1010111</v>
      </c>
      <c r="O44" s="43">
        <v>0.79166666666666663</v>
      </c>
      <c r="P44" s="43">
        <v>0.91666666666666663</v>
      </c>
      <c r="Q44" s="43">
        <f>Planejamento2025[[#This Row],[Saída]]-Planejamento2025[[#This Row],[Entrada]]</f>
        <v>0.125</v>
      </c>
      <c r="R44" s="130">
        <f>Planejamento2025[[#This Row],[Carga Horária]]/Q44</f>
        <v>13.333333333333334</v>
      </c>
      <c r="S44" s="44">
        <v>45860</v>
      </c>
      <c r="T44" s="44">
        <v>45902</v>
      </c>
      <c r="U44" s="338" t="s">
        <v>199</v>
      </c>
      <c r="V44" s="339">
        <v>16</v>
      </c>
      <c r="W44" s="340"/>
      <c r="X44" s="341" t="str">
        <f>IF(Planejamento2025[[#This Row],[Fonte Pagadora]]="Anna de Moura",(W44*H44*24),"R$ 0,00")</f>
        <v>R$ 0,00</v>
      </c>
      <c r="Y44" s="341"/>
      <c r="Z44" s="335">
        <f>INDEX(Tabela1[Valor RH / Executado],MATCH(Planejamento2025[[#This Row],[ID]],Tabela1[ID],0))</f>
        <v>0</v>
      </c>
      <c r="AA44" s="184">
        <f>INDEX(Tabela1[Valor Insumo / Executado],MATCH(Planejamento2025[[#This Row],[ID]],Tabela1[ID],0))</f>
        <v>0</v>
      </c>
      <c r="AB44" s="350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4" s="338" t="s">
        <v>15</v>
      </c>
      <c r="AD44" s="338" t="s">
        <v>15</v>
      </c>
      <c r="AE4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4" s="423" t="s">
        <v>420</v>
      </c>
      <c r="AG44" s="347" t="s">
        <v>357</v>
      </c>
    </row>
    <row r="45" spans="1:33" s="329" customFormat="1" ht="30" customHeight="1" x14ac:dyDescent="0.25">
      <c r="A4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InfBás_T3</v>
      </c>
      <c r="B45" s="337" t="s">
        <v>79</v>
      </c>
      <c r="C45" s="47" t="s">
        <v>252</v>
      </c>
      <c r="D45" s="47" t="s">
        <v>228</v>
      </c>
      <c r="E45" s="337" t="s">
        <v>74</v>
      </c>
      <c r="F45" s="337" t="s">
        <v>401</v>
      </c>
      <c r="G45" s="337" t="s">
        <v>188</v>
      </c>
      <c r="H45" s="43">
        <v>2.5</v>
      </c>
      <c r="I45" s="43"/>
      <c r="J45" s="43"/>
      <c r="K45" s="43" t="s">
        <v>100</v>
      </c>
      <c r="L45" s="43"/>
      <c r="M45" s="43"/>
      <c r="N45" s="43" t="str">
        <f t="shared" si="1"/>
        <v>1101111</v>
      </c>
      <c r="O45" s="43">
        <v>0.79166666666666663</v>
      </c>
      <c r="P45" s="43">
        <v>0.91666666666666663</v>
      </c>
      <c r="Q45" s="43">
        <f>Planejamento2025[[#This Row],[Saída]]-Planejamento2025[[#This Row],[Entrada]]</f>
        <v>0.125</v>
      </c>
      <c r="R45" s="130">
        <f>Planejamento2025[[#This Row],[Carga Horária]]/Q45</f>
        <v>20</v>
      </c>
      <c r="S45" s="44">
        <v>45861</v>
      </c>
      <c r="T45" s="44">
        <v>46001</v>
      </c>
      <c r="U45" s="338" t="s">
        <v>198</v>
      </c>
      <c r="V45" s="339">
        <v>16</v>
      </c>
      <c r="W45" s="340">
        <v>47.5</v>
      </c>
      <c r="X45" s="341">
        <f>IF(Planejamento2025[[#This Row],[Fonte Pagadora]]="Anna de Moura",(W45*H45*24),"R$ 0,00")</f>
        <v>2850</v>
      </c>
      <c r="Y45" s="341"/>
      <c r="Z45" s="335">
        <f>INDEX(Tabela1[Valor RH / Executado],MATCH(Planejamento2025[[#This Row],[ID]],Tabela1[ID],0))</f>
        <v>0</v>
      </c>
      <c r="AA45" s="184">
        <f>INDEX(Tabela1[Valor Insumo / Executado],MATCH(Planejamento2025[[#This Row],[ID]],Tabela1[ID],0))</f>
        <v>0</v>
      </c>
      <c r="AB45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5" s="338" t="s">
        <v>5</v>
      </c>
      <c r="AD45" s="338" t="s">
        <v>15</v>
      </c>
      <c r="AE4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45" s="423" t="s">
        <v>420</v>
      </c>
      <c r="AG45" s="336"/>
    </row>
    <row r="46" spans="1:33" ht="30" customHeight="1" x14ac:dyDescent="0.25">
      <c r="A46" s="337" t="s">
        <v>303</v>
      </c>
      <c r="B46" s="337" t="s">
        <v>145</v>
      </c>
      <c r="C46" s="47" t="s">
        <v>137</v>
      </c>
      <c r="D46" s="47" t="s">
        <v>230</v>
      </c>
      <c r="E46" s="337" t="s">
        <v>180</v>
      </c>
      <c r="F46" s="337" t="s">
        <v>401</v>
      </c>
      <c r="G46" s="337" t="s">
        <v>192</v>
      </c>
      <c r="H46" s="43">
        <v>1.6666666666666667</v>
      </c>
      <c r="I46" s="43"/>
      <c r="J46" s="43"/>
      <c r="K46" s="43"/>
      <c r="L46" s="43" t="s">
        <v>100</v>
      </c>
      <c r="M46" s="43"/>
      <c r="N46" s="230" t="str">
        <f t="shared" si="1"/>
        <v>1110111</v>
      </c>
      <c r="O46" s="43">
        <v>0.66666666666666663</v>
      </c>
      <c r="P46" s="43">
        <v>0.75</v>
      </c>
      <c r="Q46" s="43">
        <f>Planejamento2025[[#This Row],[Saída]]-Planejamento2025[[#This Row],[Entrada]]</f>
        <v>8.333333333333337E-2</v>
      </c>
      <c r="R46" s="130">
        <f>Planejamento2025[[#This Row],[Carga Horária]]/Q46</f>
        <v>19.999999999999993</v>
      </c>
      <c r="S46" s="44">
        <v>45862</v>
      </c>
      <c r="T46" s="44">
        <f>WORKDAY.INTL(S46,R46,Planejamento2025[[#This Row],[Padrão]],Calendário!$R$4:$R$35)</f>
        <v>46002</v>
      </c>
      <c r="U46" s="338" t="s">
        <v>151</v>
      </c>
      <c r="V46" s="339"/>
      <c r="W46" s="348">
        <v>47.5</v>
      </c>
      <c r="X46" s="341">
        <f>IF(Planejamento2025[[#This Row],[Fonte Pagadora]]="Anna de Moura",(W46*H46*24),"R$ 0,00")</f>
        <v>1900</v>
      </c>
      <c r="Y46" s="349">
        <v>0</v>
      </c>
      <c r="Z46" s="335"/>
      <c r="AA46" s="184">
        <f>INDEX(Tabela1[Valor Insumo / Executado],MATCH(Planejamento2025[[#This Row],[ID]],Tabela1[ID],0))</f>
        <v>0</v>
      </c>
      <c r="AB46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6" s="338" t="s">
        <v>5</v>
      </c>
      <c r="AD46" s="338" t="s">
        <v>5</v>
      </c>
      <c r="AE4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6" s="423" t="s">
        <v>437</v>
      </c>
      <c r="AG46" s="336"/>
    </row>
    <row r="47" spans="1:33" ht="30" customHeight="1" x14ac:dyDescent="0.25">
      <c r="A47" s="337" t="s">
        <v>304</v>
      </c>
      <c r="B47" s="337" t="s">
        <v>145</v>
      </c>
      <c r="C47" s="47" t="s">
        <v>138</v>
      </c>
      <c r="D47" s="47" t="s">
        <v>228</v>
      </c>
      <c r="E47" s="337" t="s">
        <v>180</v>
      </c>
      <c r="F47" s="337" t="s">
        <v>401</v>
      </c>
      <c r="G47" s="337" t="s">
        <v>192</v>
      </c>
      <c r="H47" s="43">
        <v>1.6666666666666667</v>
      </c>
      <c r="I47" s="43"/>
      <c r="J47" s="43"/>
      <c r="K47" s="43"/>
      <c r="L47" s="43" t="s">
        <v>100</v>
      </c>
      <c r="M47" s="43"/>
      <c r="N47" s="230" t="str">
        <f t="shared" si="1"/>
        <v>1110111</v>
      </c>
      <c r="O47" s="43">
        <v>0.79166666666666663</v>
      </c>
      <c r="P47" s="43">
        <v>0.875</v>
      </c>
      <c r="Q47" s="43">
        <f>Planejamento2025[[#This Row],[Saída]]-Planejamento2025[[#This Row],[Entrada]]</f>
        <v>8.333333333333337E-2</v>
      </c>
      <c r="R47" s="130">
        <f>Planejamento2025[[#This Row],[Carga Horária]]/Q47</f>
        <v>19.999999999999993</v>
      </c>
      <c r="S47" s="44">
        <v>45862</v>
      </c>
      <c r="T47" s="44">
        <f>WORKDAY.INTL(S47,R47,Planejamento2025[[#This Row],[Padrão]],Calendário!$R$4:$R$35)</f>
        <v>46002</v>
      </c>
      <c r="U47" s="338" t="s">
        <v>150</v>
      </c>
      <c r="V47" s="339"/>
      <c r="W47" s="340">
        <v>47.5</v>
      </c>
      <c r="X47" s="341">
        <f>IF(Planejamento2025[[#This Row],[Fonte Pagadora]]="Anna de Moura",(W47*H47*24),"R$ 0,00")</f>
        <v>1900</v>
      </c>
      <c r="Y47" s="341">
        <v>0</v>
      </c>
      <c r="Z47" s="335"/>
      <c r="AA47" s="184">
        <f>INDEX(Tabela1[Valor Insumo / Executado],MATCH(Planejamento2025[[#This Row],[ID]],Tabela1[ID],0))</f>
        <v>0</v>
      </c>
      <c r="AB4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7" s="338" t="s">
        <v>5</v>
      </c>
      <c r="AD47" s="338" t="s">
        <v>5</v>
      </c>
      <c r="AE4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7" s="423" t="s">
        <v>437</v>
      </c>
      <c r="AG47" s="336"/>
    </row>
    <row r="48" spans="1:33" s="211" customFormat="1" ht="30" customHeight="1" x14ac:dyDescent="0.25">
      <c r="A48" s="401" t="s">
        <v>414</v>
      </c>
      <c r="B48" s="401" t="s">
        <v>413</v>
      </c>
      <c r="C48" s="402" t="s">
        <v>137</v>
      </c>
      <c r="D48" s="402" t="s">
        <v>230</v>
      </c>
      <c r="E48" s="401" t="s">
        <v>412</v>
      </c>
      <c r="F48" s="401" t="s">
        <v>397</v>
      </c>
      <c r="G48" s="401"/>
      <c r="H48" s="134">
        <v>2.5</v>
      </c>
      <c r="I48" s="134" t="s">
        <v>100</v>
      </c>
      <c r="J48" s="134" t="s">
        <v>100</v>
      </c>
      <c r="K48" s="134" t="s">
        <v>100</v>
      </c>
      <c r="L48" s="134" t="s">
        <v>100</v>
      </c>
      <c r="M48" s="134" t="s">
        <v>100</v>
      </c>
      <c r="N48" s="134" t="str">
        <f t="shared" si="1"/>
        <v>0000011</v>
      </c>
      <c r="O48" s="134">
        <v>0.54166666666666663</v>
      </c>
      <c r="P48" s="134">
        <v>0.70833333333333337</v>
      </c>
      <c r="Q48" s="134">
        <f>Planejamento2025[[#This Row],[Saída]]-Planejamento2025[[#This Row],[Entrada]]</f>
        <v>0.16666666666666674</v>
      </c>
      <c r="R48" s="403">
        <f>Planejamento2025[[#This Row],[Carga Horária]]/Q48</f>
        <v>14.999999999999993</v>
      </c>
      <c r="S48" s="404">
        <v>45866</v>
      </c>
      <c r="T48" s="404">
        <f>WORKDAY.INTL(S48,R48,Planejamento2025[[#This Row],[Padrão]],Calendário!$R$4:$R$35)</f>
        <v>45884</v>
      </c>
      <c r="U48" s="405" t="s">
        <v>198</v>
      </c>
      <c r="V48" s="406">
        <v>16</v>
      </c>
      <c r="W48" s="416">
        <v>0</v>
      </c>
      <c r="X48" s="407" t="str">
        <f>IF(Planejamento2025[[#This Row],[Fonte Pagadora]]="Anna de Moura",(W48*H48*24),"R$ 0,00")</f>
        <v>R$ 0,00</v>
      </c>
      <c r="Y48" s="407">
        <v>0</v>
      </c>
      <c r="Z48" s="407">
        <f>INDEX(Tabela1[Valor RH / Executado],MATCH(Planejamento2025[[#This Row],[ID]],Tabela1[ID],0))</f>
        <v>0</v>
      </c>
      <c r="AA48" s="408">
        <f>INDEX(Tabela1[Valor Insumo / Executado],MATCH(Planejamento2025[[#This Row],[ID]],Tabela1[ID],0))</f>
        <v>0</v>
      </c>
      <c r="AB48" s="417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8" s="405" t="s">
        <v>15</v>
      </c>
      <c r="AD48" s="405" t="s">
        <v>15</v>
      </c>
      <c r="AE48" s="42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8" s="423" t="s">
        <v>437</v>
      </c>
      <c r="AG48" s="409"/>
    </row>
    <row r="49" spans="1:33" ht="30" customHeight="1" x14ac:dyDescent="0.25">
      <c r="A49" s="337" t="s">
        <v>276</v>
      </c>
      <c r="B49" s="337" t="s">
        <v>275</v>
      </c>
      <c r="C49" s="47" t="s">
        <v>137</v>
      </c>
      <c r="D49" s="47" t="s">
        <v>229</v>
      </c>
      <c r="E49" s="337" t="s">
        <v>211</v>
      </c>
      <c r="F49" s="337" t="s">
        <v>397</v>
      </c>
      <c r="G49" s="337" t="s">
        <v>253</v>
      </c>
      <c r="H49" s="43">
        <v>3.6666666666666665</v>
      </c>
      <c r="I49" s="43" t="s">
        <v>100</v>
      </c>
      <c r="J49" s="43" t="s">
        <v>100</v>
      </c>
      <c r="K49" s="43" t="s">
        <v>100</v>
      </c>
      <c r="L49" s="43" t="s">
        <v>100</v>
      </c>
      <c r="M49" s="43" t="s">
        <v>100</v>
      </c>
      <c r="N49" s="43" t="str">
        <f t="shared" si="1"/>
        <v>0000011</v>
      </c>
      <c r="O49" s="43">
        <v>0.33333333333333331</v>
      </c>
      <c r="P49" s="43">
        <v>0.5</v>
      </c>
      <c r="Q49" s="43">
        <f>Planejamento2025[[#This Row],[Saída]]-Planejamento2025[[#This Row],[Entrada]]</f>
        <v>0.16666666666666669</v>
      </c>
      <c r="R49" s="130">
        <f>Planejamento2025[[#This Row],[Carga Horária]]/Q49</f>
        <v>21.999999999999996</v>
      </c>
      <c r="S49" s="44">
        <v>45866</v>
      </c>
      <c r="T49" s="44">
        <f>WORKDAY.INTL(S49,R49,Planejamento2025[[#This Row],[Padrão]],Calendário!$R$4:$R$35)</f>
        <v>45895</v>
      </c>
      <c r="U49" s="338" t="s">
        <v>198</v>
      </c>
      <c r="V49" s="339">
        <v>16</v>
      </c>
      <c r="W49" s="348" t="s">
        <v>241</v>
      </c>
      <c r="X49" s="341" t="str">
        <f>IF(Planejamento2025[[#This Row],[Fonte Pagadora]]="Anna de Moura",(W49*H49*24),"R$ 0,00")</f>
        <v>R$ 0,00</v>
      </c>
      <c r="Y49" s="349"/>
      <c r="Z49" s="335">
        <f>INDEX(Tabela1[Valor RH / Executado],MATCH(Planejamento2025[[#This Row],[ID]],Tabela1[ID],0))</f>
        <v>0</v>
      </c>
      <c r="AA49" s="184">
        <f>INDEX(Tabela1[Valor Insumo / Executado],MATCH(Planejamento2025[[#This Row],[ID]],Tabela1[ID],0))</f>
        <v>0</v>
      </c>
      <c r="AB49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9" s="338" t="s">
        <v>408</v>
      </c>
      <c r="AD49" s="338" t="s">
        <v>409</v>
      </c>
      <c r="AE4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49" s="423" t="s">
        <v>425</v>
      </c>
      <c r="AG49" s="336"/>
    </row>
    <row r="50" spans="1:33" s="327" customFormat="1" ht="30" customHeight="1" x14ac:dyDescent="0.25">
      <c r="A5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LeiInt_T1</v>
      </c>
      <c r="B50" s="337" t="s">
        <v>257</v>
      </c>
      <c r="C50" s="47" t="s">
        <v>137</v>
      </c>
      <c r="D50" s="47" t="s">
        <v>228</v>
      </c>
      <c r="E50" s="337"/>
      <c r="F50" s="337" t="s">
        <v>397</v>
      </c>
      <c r="G50" s="337" t="s">
        <v>258</v>
      </c>
      <c r="H50" s="43">
        <v>2.5</v>
      </c>
      <c r="I50" s="43"/>
      <c r="J50" s="43" t="s">
        <v>100</v>
      </c>
      <c r="K50" s="43" t="s">
        <v>100</v>
      </c>
      <c r="L50" s="43" t="s">
        <v>100</v>
      </c>
      <c r="M50" s="43"/>
      <c r="N50" s="43" t="str">
        <f t="shared" si="1"/>
        <v>1000111</v>
      </c>
      <c r="O50" s="43">
        <v>0.79166666666666663</v>
      </c>
      <c r="P50" s="43">
        <v>0.91666666666666663</v>
      </c>
      <c r="Q50" s="43">
        <f>Planejamento2025[[#This Row],[Saída]]-Planejamento2025[[#This Row],[Entrada]]</f>
        <v>0.125</v>
      </c>
      <c r="R50" s="130">
        <f>Planejamento2025[[#This Row],[Carga Horária]]/Q50</f>
        <v>20</v>
      </c>
      <c r="S50" s="44">
        <v>45867</v>
      </c>
      <c r="T50" s="44">
        <v>45917</v>
      </c>
      <c r="U50" s="338" t="s">
        <v>199</v>
      </c>
      <c r="V50" s="339">
        <v>16</v>
      </c>
      <c r="W50" s="348"/>
      <c r="X50" s="341" t="str">
        <f>IF(Planejamento2025[[#This Row],[Fonte Pagadora]]="Anna de Moura",(W50*H50*24),"R$ 0,00")</f>
        <v>R$ 0,00</v>
      </c>
      <c r="Y50" s="349"/>
      <c r="Z50" s="335">
        <f>INDEX(Tabela1[Valor RH / Executado],MATCH(Planejamento2025[[#This Row],[ID]],Tabela1[ID],0))</f>
        <v>0</v>
      </c>
      <c r="AA50" s="184">
        <f>INDEX(Tabela1[Valor Insumo / Executado],MATCH(Planejamento2025[[#This Row],[ID]],Tabela1[ID],0))</f>
        <v>0</v>
      </c>
      <c r="AB5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0" s="338" t="s">
        <v>15</v>
      </c>
      <c r="AD50" s="338" t="s">
        <v>15</v>
      </c>
      <c r="AE50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0" s="423" t="s">
        <v>418</v>
      </c>
      <c r="AG50" s="336"/>
    </row>
    <row r="51" spans="1:33" s="327" customFormat="1" ht="30" customHeight="1" x14ac:dyDescent="0.25">
      <c r="A51" s="337" t="s">
        <v>364</v>
      </c>
      <c r="B51" s="337" t="s">
        <v>363</v>
      </c>
      <c r="C51" s="47" t="s">
        <v>137</v>
      </c>
      <c r="D51" s="47" t="s">
        <v>230</v>
      </c>
      <c r="E51" s="337" t="s">
        <v>211</v>
      </c>
      <c r="F51" s="337" t="s">
        <v>397</v>
      </c>
      <c r="G51" s="337" t="s">
        <v>253</v>
      </c>
      <c r="H51" s="43">
        <v>3.3333333333333335</v>
      </c>
      <c r="I51" s="43" t="s">
        <v>100</v>
      </c>
      <c r="J51" s="43" t="s">
        <v>100</v>
      </c>
      <c r="K51" s="43" t="s">
        <v>100</v>
      </c>
      <c r="L51" s="43" t="s">
        <v>100</v>
      </c>
      <c r="M51" s="43" t="s">
        <v>100</v>
      </c>
      <c r="N51" s="43" t="str">
        <f t="shared" si="1"/>
        <v>0000011</v>
      </c>
      <c r="O51" s="43">
        <v>0.54166666666666663</v>
      </c>
      <c r="P51" s="43">
        <v>0.70833333333333337</v>
      </c>
      <c r="Q51" s="43">
        <f>Planejamento2025[[#This Row],[Saída]]-Planejamento2025[[#This Row],[Entrada]]</f>
        <v>0.16666666666666674</v>
      </c>
      <c r="R51" s="130">
        <f>Planejamento2025[[#This Row],[Carga Horária]]/Q51</f>
        <v>19.999999999999993</v>
      </c>
      <c r="S51" s="44">
        <v>45868</v>
      </c>
      <c r="T51" s="44">
        <f>WORKDAY.INTL(S51,R51,Planejamento2025[[#This Row],[Padrão]],Calendário!$R$4:$R$35)</f>
        <v>45895</v>
      </c>
      <c r="U51" s="338" t="s">
        <v>198</v>
      </c>
      <c r="V51" s="339">
        <v>16</v>
      </c>
      <c r="W51" s="348"/>
      <c r="X51" s="341" t="str">
        <f>IF(Planejamento2025[[#This Row],[Fonte Pagadora]]="Anna de Moura",(W51*H51*24),"R$ 0,00")</f>
        <v>R$ 0,00</v>
      </c>
      <c r="Y51" s="349"/>
      <c r="Z51" s="335">
        <f>INDEX(Tabela1[Valor RH / Executado],MATCH(Planejamento2025[[#This Row],[ID]],Tabela1[ID],0))</f>
        <v>0</v>
      </c>
      <c r="AA51" s="184">
        <f>INDEX(Tabela1[Valor Insumo / Executado],MATCH(Planejamento2025[[#This Row],[ID]],Tabela1[ID],0))</f>
        <v>0</v>
      </c>
      <c r="AB51" s="35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1" s="338" t="s">
        <v>15</v>
      </c>
      <c r="AD51" s="338" t="s">
        <v>15</v>
      </c>
      <c r="AE51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1" s="423" t="s">
        <v>425</v>
      </c>
      <c r="AG51" s="336"/>
    </row>
    <row r="52" spans="1:33" ht="30" customHeight="1" x14ac:dyDescent="0.25">
      <c r="A5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PacOff_T4</v>
      </c>
      <c r="B52" s="337" t="s">
        <v>78</v>
      </c>
      <c r="C52" s="47" t="s">
        <v>278</v>
      </c>
      <c r="D52" s="47" t="s">
        <v>228</v>
      </c>
      <c r="E52" s="337" t="s">
        <v>74</v>
      </c>
      <c r="F52" s="337" t="s">
        <v>397</v>
      </c>
      <c r="G52" s="337" t="s">
        <v>190</v>
      </c>
      <c r="H52" s="43">
        <v>4</v>
      </c>
      <c r="I52" s="43"/>
      <c r="J52" s="43" t="s">
        <v>100</v>
      </c>
      <c r="K52" s="43" t="s">
        <v>100</v>
      </c>
      <c r="L52" s="43"/>
      <c r="M52" s="43"/>
      <c r="N52" s="134" t="str">
        <f t="shared" si="1"/>
        <v>1001111</v>
      </c>
      <c r="O52" s="43">
        <v>0.79166666666666663</v>
      </c>
      <c r="P52" s="43">
        <v>0.91666666666666663</v>
      </c>
      <c r="Q52" s="43">
        <f>Planejamento2025[[#This Row],[Saída]]-Planejamento2025[[#This Row],[Entrada]]</f>
        <v>0.125</v>
      </c>
      <c r="R52" s="130">
        <f>Planejamento2025[[#This Row],[Carga Horária]]/Q52</f>
        <v>32</v>
      </c>
      <c r="S52" s="44">
        <v>45874</v>
      </c>
      <c r="T52" s="44">
        <v>45986</v>
      </c>
      <c r="U52" s="338" t="s">
        <v>240</v>
      </c>
      <c r="V52" s="339">
        <v>14</v>
      </c>
      <c r="W52" s="348">
        <v>47.5</v>
      </c>
      <c r="X52" s="341">
        <f>IF(Planejamento2025[[#This Row],[Fonte Pagadora]]="Anna de Moura",(W52*H52*24),"R$ 0,00")</f>
        <v>4560</v>
      </c>
      <c r="Y52" s="349"/>
      <c r="Z52" s="335">
        <f>INDEX(Tabela1[Valor RH / Executado],MATCH(Planejamento2025[[#This Row],[ID]],Tabela1[ID],0))</f>
        <v>0</v>
      </c>
      <c r="AA52" s="184">
        <f>INDEX(Tabela1[Valor Insumo / Executado],MATCH(Planejamento2025[[#This Row],[ID]],Tabela1[ID],0))</f>
        <v>0</v>
      </c>
      <c r="AB5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2" s="338" t="s">
        <v>5</v>
      </c>
      <c r="AD52" s="338" t="s">
        <v>343</v>
      </c>
      <c r="AE5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2" s="423" t="s">
        <v>423</v>
      </c>
      <c r="AG52" s="336"/>
    </row>
    <row r="53" spans="1:33" ht="30" customHeight="1" x14ac:dyDescent="0.25">
      <c r="A5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DesCap_T1</v>
      </c>
      <c r="B53" s="337" t="s">
        <v>344</v>
      </c>
      <c r="C53" s="47" t="s">
        <v>137</v>
      </c>
      <c r="D53" s="47" t="s">
        <v>228</v>
      </c>
      <c r="E53" s="337" t="s">
        <v>76</v>
      </c>
      <c r="F53" s="337" t="s">
        <v>397</v>
      </c>
      <c r="G53" s="337" t="s">
        <v>184</v>
      </c>
      <c r="H53" s="43">
        <v>3.3333333333333335</v>
      </c>
      <c r="I53" s="43"/>
      <c r="J53" s="43" t="s">
        <v>100</v>
      </c>
      <c r="K53" s="43" t="s">
        <v>100</v>
      </c>
      <c r="L53" s="43"/>
      <c r="M53" s="43"/>
      <c r="N53" s="134" t="str">
        <f t="shared" si="1"/>
        <v>1001111</v>
      </c>
      <c r="O53" s="43">
        <v>0.79166666666666663</v>
      </c>
      <c r="P53" s="43">
        <v>0.91666666666666663</v>
      </c>
      <c r="Q53" s="43">
        <f>Planejamento2025[[#This Row],[Saída]]-Planejamento2025[[#This Row],[Entrada]]</f>
        <v>0.125</v>
      </c>
      <c r="R53" s="130">
        <f>Planejamento2025[[#This Row],[Carga Horária]]/Q53</f>
        <v>26.666666666666668</v>
      </c>
      <c r="S53" s="44">
        <v>45874</v>
      </c>
      <c r="T53" s="44">
        <f>WORKDAY.INTL(S53,R53,Planejamento2025[[#This Row],[Padrão]],Calendário!$R$4:$R$35)</f>
        <v>45966</v>
      </c>
      <c r="U53" s="338" t="s">
        <v>240</v>
      </c>
      <c r="V53" s="339">
        <v>25</v>
      </c>
      <c r="W53" s="348">
        <v>47.5</v>
      </c>
      <c r="X53" s="341">
        <f>IF(Planejamento2025[[#This Row],[Fonte Pagadora]]="Anna de Moura",(W53*H53*24),"R$ 0,00")</f>
        <v>3800</v>
      </c>
      <c r="Y53" s="349"/>
      <c r="Z53" s="335">
        <f>INDEX(Tabela1[Valor RH / Executado],MATCH(Planejamento2025[[#This Row],[ID]],Tabela1[ID],0))</f>
        <v>0</v>
      </c>
      <c r="AA53" s="184">
        <f>INDEX(Tabela1[Valor Insumo / Executado],MATCH(Planejamento2025[[#This Row],[ID]],Tabela1[ID],0))</f>
        <v>0</v>
      </c>
      <c r="AB5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3" s="338" t="s">
        <v>5</v>
      </c>
      <c r="AD53" s="338" t="s">
        <v>15</v>
      </c>
      <c r="AE5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3" s="423" t="s">
        <v>422</v>
      </c>
      <c r="AG53" s="336"/>
    </row>
    <row r="54" spans="1:33" ht="30" customHeight="1" x14ac:dyDescent="0.25">
      <c r="A5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Maq _T1</v>
      </c>
      <c r="B54" s="337" t="s">
        <v>281</v>
      </c>
      <c r="C54" s="47" t="s">
        <v>137</v>
      </c>
      <c r="D54" s="47" t="s">
        <v>230</v>
      </c>
      <c r="E54" s="337" t="s">
        <v>179</v>
      </c>
      <c r="F54" s="337" t="s">
        <v>401</v>
      </c>
      <c r="G54" s="337" t="s">
        <v>191</v>
      </c>
      <c r="H54" s="43">
        <v>1.6666666666666667</v>
      </c>
      <c r="I54" s="43"/>
      <c r="J54" s="43" t="s">
        <v>100</v>
      </c>
      <c r="K54" s="43"/>
      <c r="L54" s="43"/>
      <c r="M54" s="43"/>
      <c r="N54" s="230" t="str">
        <f t="shared" si="1"/>
        <v>1011111</v>
      </c>
      <c r="O54" s="43">
        <v>0.58333333333333337</v>
      </c>
      <c r="P54" s="43">
        <v>0.70833333333333337</v>
      </c>
      <c r="Q54" s="43">
        <f>Planejamento2025[[#This Row],[Saída]]-Planejamento2025[[#This Row],[Entrada]]</f>
        <v>0.125</v>
      </c>
      <c r="R54" s="130">
        <f>Planejamento2025[[#This Row],[Carga Horária]]/Q54</f>
        <v>13.333333333333334</v>
      </c>
      <c r="S54" s="44">
        <v>45874</v>
      </c>
      <c r="T54" s="44">
        <f>WORKDAY.INTL(S54,R54,Planejamento2025[[#This Row],[Padrão]],Calendário!$R$4:$R$35)</f>
        <v>45965</v>
      </c>
      <c r="U54" s="338" t="s">
        <v>198</v>
      </c>
      <c r="V54" s="339">
        <v>20</v>
      </c>
      <c r="W54" s="340">
        <v>47.5</v>
      </c>
      <c r="X54" s="341">
        <f>IF(Planejamento2025[[#This Row],[Fonte Pagadora]]="Anna de Moura",(W54*H54*24),"R$ 0,00")</f>
        <v>1900</v>
      </c>
      <c r="Y54" s="341"/>
      <c r="Z54" s="335">
        <f>INDEX(Tabela1[Valor RH / Executado],MATCH(Planejamento2025[[#This Row],[ID]],Tabela1[ID],0))</f>
        <v>0</v>
      </c>
      <c r="AA54" s="184">
        <f>INDEX(Tabela1[Valor Insumo / Executado],MATCH(Planejamento2025[[#This Row],[ID]],Tabela1[ID],0))</f>
        <v>0</v>
      </c>
      <c r="AB54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4" s="338" t="s">
        <v>5</v>
      </c>
      <c r="AD54" s="338" t="s">
        <v>5</v>
      </c>
      <c r="AE5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4" s="423" t="s">
        <v>431</v>
      </c>
      <c r="AG54" s="336"/>
    </row>
    <row r="55" spans="1:33" s="232" customFormat="1" ht="30" customHeight="1" x14ac:dyDescent="0.25">
      <c r="A5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Bolno _T1</v>
      </c>
      <c r="B55" s="337" t="s">
        <v>346</v>
      </c>
      <c r="C55" s="47" t="s">
        <v>137</v>
      </c>
      <c r="D55" s="47" t="s">
        <v>228</v>
      </c>
      <c r="E55" s="337" t="s">
        <v>213</v>
      </c>
      <c r="F55" s="337" t="s">
        <v>397</v>
      </c>
      <c r="G55" s="337" t="s">
        <v>186</v>
      </c>
      <c r="H55" s="43">
        <v>0.75</v>
      </c>
      <c r="I55" s="43"/>
      <c r="J55" s="43" t="s">
        <v>100</v>
      </c>
      <c r="K55" s="43" t="s">
        <v>100</v>
      </c>
      <c r="L55" s="43"/>
      <c r="M55" s="43"/>
      <c r="N55" s="230" t="str">
        <f t="shared" si="1"/>
        <v>1001111</v>
      </c>
      <c r="O55" s="43">
        <v>0.79166666666666663</v>
      </c>
      <c r="P55" s="43">
        <v>0.91666666666666663</v>
      </c>
      <c r="Q55" s="43">
        <f>Planejamento2025[[#This Row],[Saída]]-Planejamento2025[[#This Row],[Entrada]]</f>
        <v>0.125</v>
      </c>
      <c r="R55" s="130">
        <f>Planejamento2025[[#This Row],[Carga Horária]]/Q55</f>
        <v>6</v>
      </c>
      <c r="S55" s="44">
        <v>45874</v>
      </c>
      <c r="T55" s="44">
        <v>45889</v>
      </c>
      <c r="U55" s="338" t="s">
        <v>198</v>
      </c>
      <c r="V55" s="339">
        <v>16</v>
      </c>
      <c r="W55" s="340">
        <v>47.5</v>
      </c>
      <c r="X55" s="341">
        <f>IF(Planejamento2025[[#This Row],[Fonte Pagadora]]="Anna de Moura",(W55*H55*24),"R$ 0,00")</f>
        <v>855</v>
      </c>
      <c r="Y55" s="341"/>
      <c r="Z55" s="335">
        <f>INDEX(Tabela1[Valor RH / Executado],MATCH(Planejamento2025[[#This Row],[ID]],Tabela1[ID],0))</f>
        <v>0</v>
      </c>
      <c r="AA55" s="184">
        <f>INDEX(Tabela1[Valor Insumo / Executado],MATCH(Planejamento2025[[#This Row],[ID]],Tabela1[ID],0))</f>
        <v>0</v>
      </c>
      <c r="AB55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5" s="338" t="s">
        <v>5</v>
      </c>
      <c r="AD55" s="338" t="s">
        <v>5</v>
      </c>
      <c r="AE5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5" s="423" t="s">
        <v>430</v>
      </c>
      <c r="AG55" s="347"/>
    </row>
    <row r="56" spans="1:33" s="325" customFormat="1" ht="30" customHeight="1" x14ac:dyDescent="0.25">
      <c r="A5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ComElé_T2</v>
      </c>
      <c r="B56" s="337" t="s">
        <v>89</v>
      </c>
      <c r="C56" s="47" t="s">
        <v>138</v>
      </c>
      <c r="D56" s="47" t="s">
        <v>230</v>
      </c>
      <c r="E56" s="337" t="s">
        <v>90</v>
      </c>
      <c r="F56" s="337" t="s">
        <v>397</v>
      </c>
      <c r="G56" s="337" t="s">
        <v>259</v>
      </c>
      <c r="H56" s="43">
        <v>5</v>
      </c>
      <c r="I56" s="43"/>
      <c r="J56" s="43" t="s">
        <v>100</v>
      </c>
      <c r="K56" s="43"/>
      <c r="L56" s="43" t="s">
        <v>100</v>
      </c>
      <c r="M56" s="43"/>
      <c r="N56" s="43" t="str">
        <f t="shared" si="1"/>
        <v>1010111</v>
      </c>
      <c r="O56" s="43">
        <v>0.54166666666666663</v>
      </c>
      <c r="P56" s="43">
        <v>0.72916666666666663</v>
      </c>
      <c r="Q56" s="43">
        <f>Planejamento2025[[#This Row],[Saída]]-Planejamento2025[[#This Row],[Entrada]]</f>
        <v>0.1875</v>
      </c>
      <c r="R56" s="130">
        <f>Planejamento2025[[#This Row],[Carga Horária]]/Q56</f>
        <v>26.666666666666668</v>
      </c>
      <c r="S56" s="44">
        <v>45874</v>
      </c>
      <c r="T56" s="44">
        <v>45960</v>
      </c>
      <c r="U56" s="338" t="s">
        <v>198</v>
      </c>
      <c r="V56" s="339">
        <v>16</v>
      </c>
      <c r="W56" s="340"/>
      <c r="X56" s="341" t="str">
        <f>IF(Planejamento2025[[#This Row],[Fonte Pagadora]]="Anna de Moura",(W56*H56*24),"R$ 0,00")</f>
        <v>R$ 0,00</v>
      </c>
      <c r="Y56" s="341"/>
      <c r="Z56" s="335">
        <f>INDEX(Tabela1[Valor RH / Executado],MATCH(Planejamento2025[[#This Row],[ID]],Tabela1[ID],0))</f>
        <v>0</v>
      </c>
      <c r="AA56" s="184">
        <f>INDEX(Tabela1[Valor Insumo / Executado],MATCH(Planejamento2025[[#This Row],[ID]],Tabela1[ID],0))</f>
        <v>0</v>
      </c>
      <c r="AB56" s="350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6" s="338" t="s">
        <v>15</v>
      </c>
      <c r="AD56" s="338" t="s">
        <v>15</v>
      </c>
      <c r="AE5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6" s="423" t="s">
        <v>435</v>
      </c>
      <c r="AG56" s="347"/>
    </row>
    <row r="57" spans="1:33" s="326" customFormat="1" ht="30" customHeight="1" x14ac:dyDescent="0.25">
      <c r="A5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InfBás_T4</v>
      </c>
      <c r="B57" s="337" t="s">
        <v>79</v>
      </c>
      <c r="C57" s="47" t="s">
        <v>278</v>
      </c>
      <c r="D57" s="47" t="s">
        <v>230</v>
      </c>
      <c r="E57" s="337" t="s">
        <v>74</v>
      </c>
      <c r="F57" s="337" t="s">
        <v>401</v>
      </c>
      <c r="G57" s="337" t="s">
        <v>188</v>
      </c>
      <c r="H57" s="43">
        <v>2.5</v>
      </c>
      <c r="I57" s="43"/>
      <c r="J57" s="43" t="s">
        <v>100</v>
      </c>
      <c r="K57" s="43"/>
      <c r="L57" s="43" t="s">
        <v>100</v>
      </c>
      <c r="M57" s="43"/>
      <c r="N57" s="43" t="str">
        <f t="shared" si="1"/>
        <v>1010111</v>
      </c>
      <c r="O57" s="43">
        <v>0.625</v>
      </c>
      <c r="P57" s="43">
        <v>0.75</v>
      </c>
      <c r="Q57" s="43">
        <f>Planejamento2025[[#This Row],[Saída]]-Planejamento2025[[#This Row],[Entrada]]</f>
        <v>0.125</v>
      </c>
      <c r="R57" s="130">
        <f>Planejamento2025[[#This Row],[Carga Horária]]/Q57</f>
        <v>20</v>
      </c>
      <c r="S57" s="44">
        <v>45874</v>
      </c>
      <c r="T57" s="44">
        <v>45939</v>
      </c>
      <c r="U57" s="338" t="s">
        <v>200</v>
      </c>
      <c r="V57" s="339">
        <v>16</v>
      </c>
      <c r="W57" s="340">
        <v>47.5</v>
      </c>
      <c r="X57" s="341">
        <f>IF(Planejamento2025[[#This Row],[Fonte Pagadora]]="Anna de Moura",(W57*H57*24),"R$ 0,00")</f>
        <v>2850</v>
      </c>
      <c r="Y57" s="341"/>
      <c r="Z57" s="335">
        <f>INDEX(Tabela1[Valor RH / Executado],MATCH(Planejamento2025[[#This Row],[ID]],Tabela1[ID],0))</f>
        <v>0</v>
      </c>
      <c r="AA57" s="184">
        <f>INDEX(Tabela1[Valor Insumo / Executado],MATCH(Planejamento2025[[#This Row],[ID]],Tabela1[ID],0))</f>
        <v>0</v>
      </c>
      <c r="AB5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7" s="338" t="s">
        <v>5</v>
      </c>
      <c r="AD57" s="338" t="s">
        <v>15</v>
      </c>
      <c r="AE5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7" s="423" t="s">
        <v>420</v>
      </c>
      <c r="AG57" s="347"/>
    </row>
    <row r="58" spans="1:33" s="326" customFormat="1" ht="30" customHeight="1" x14ac:dyDescent="0.25">
      <c r="A5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_T1</v>
      </c>
      <c r="B58" s="337" t="s">
        <v>361</v>
      </c>
      <c r="C58" s="47" t="s">
        <v>137</v>
      </c>
      <c r="D58" s="47" t="s">
        <v>228</v>
      </c>
      <c r="E58" s="337" t="s">
        <v>76</v>
      </c>
      <c r="F58" s="337" t="s">
        <v>397</v>
      </c>
      <c r="G58" s="337" t="s">
        <v>188</v>
      </c>
      <c r="H58" s="43">
        <v>0.83333333333333337</v>
      </c>
      <c r="I58" s="43"/>
      <c r="J58" s="43" t="s">
        <v>100</v>
      </c>
      <c r="K58" s="43"/>
      <c r="L58" s="43" t="s">
        <v>100</v>
      </c>
      <c r="M58" s="43"/>
      <c r="N58" s="134" t="str">
        <f t="shared" si="1"/>
        <v>1010111</v>
      </c>
      <c r="O58" s="43">
        <v>0.79166666666666663</v>
      </c>
      <c r="P58" s="43">
        <v>0.91666666666666663</v>
      </c>
      <c r="Q58" s="43">
        <f>Planejamento2025[[#This Row],[Saída]]-Planejamento2025[[#This Row],[Entrada]]</f>
        <v>0.125</v>
      </c>
      <c r="R58" s="130">
        <f>Planejamento2025[[#This Row],[Carga Horária]]/Q58</f>
        <v>6.666666666666667</v>
      </c>
      <c r="S58" s="44">
        <v>45874</v>
      </c>
      <c r="T58" s="44">
        <f>WORKDAY.INTL(S58,R58,Planejamento2025[[#This Row],[Padrão]],Calendário!$R$4:$R$35)</f>
        <v>45895</v>
      </c>
      <c r="U58" s="338" t="s">
        <v>199</v>
      </c>
      <c r="V58" s="339">
        <v>20</v>
      </c>
      <c r="W58" s="348">
        <v>47.5</v>
      </c>
      <c r="X58" s="341">
        <f>IF(Planejamento2025[[#This Row],[Fonte Pagadora]]="Anna de Moura",(W58*H58*24),"R$ 0,00")</f>
        <v>950</v>
      </c>
      <c r="Y58" s="349"/>
      <c r="Z58" s="335">
        <f>INDEX(Tabela1[Valor RH / Executado],MATCH(Planejamento2025[[#This Row],[ID]],Tabela1[ID],0))</f>
        <v>0</v>
      </c>
      <c r="AA58" s="184">
        <f>INDEX(Tabela1[Valor Insumo / Executado],MATCH(Planejamento2025[[#This Row],[ID]],Tabela1[ID],0))</f>
        <v>0</v>
      </c>
      <c r="AB5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8" s="338" t="s">
        <v>5</v>
      </c>
      <c r="AD58" s="338" t="s">
        <v>15</v>
      </c>
      <c r="AE58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8" s="423" t="s">
        <v>419</v>
      </c>
      <c r="AG58" s="347"/>
    </row>
    <row r="59" spans="1:33" s="148" customFormat="1" ht="30" customHeight="1" x14ac:dyDescent="0.25">
      <c r="A5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RotAdm_T1</v>
      </c>
      <c r="B59" s="337" t="s">
        <v>360</v>
      </c>
      <c r="C59" s="47" t="s">
        <v>137</v>
      </c>
      <c r="D59" s="47" t="s">
        <v>228</v>
      </c>
      <c r="E59" s="337" t="s">
        <v>76</v>
      </c>
      <c r="F59" s="337" t="s">
        <v>397</v>
      </c>
      <c r="G59" s="337" t="s">
        <v>362</v>
      </c>
      <c r="H59" s="43">
        <v>4.166666666666667</v>
      </c>
      <c r="I59" s="43"/>
      <c r="J59" s="43"/>
      <c r="K59" s="43" t="s">
        <v>100</v>
      </c>
      <c r="L59" s="43" t="s">
        <v>100</v>
      </c>
      <c r="M59" s="43"/>
      <c r="N59" s="134" t="str">
        <f t="shared" si="1"/>
        <v>1100111</v>
      </c>
      <c r="O59" s="43">
        <v>0.79166666666666663</v>
      </c>
      <c r="P59" s="43">
        <v>0.91666666666666663</v>
      </c>
      <c r="Q59" s="43">
        <f>Planejamento2025[[#This Row],[Saída]]-Planejamento2025[[#This Row],[Entrada]]</f>
        <v>0.125</v>
      </c>
      <c r="R59" s="130">
        <f>Planejamento2025[[#This Row],[Carga Horária]]/Q59</f>
        <v>33.333333333333336</v>
      </c>
      <c r="S59" s="44">
        <v>45875</v>
      </c>
      <c r="T59" s="44">
        <v>45987</v>
      </c>
      <c r="U59" s="338" t="s">
        <v>198</v>
      </c>
      <c r="V59" s="339">
        <v>20</v>
      </c>
      <c r="W59" s="340">
        <v>47.5</v>
      </c>
      <c r="X59" s="341">
        <f>IF(Planejamento2025[[#This Row],[Fonte Pagadora]]="Anna de Moura",(W59*H59*24),"R$ 0,00")</f>
        <v>4750</v>
      </c>
      <c r="Y59" s="341"/>
      <c r="Z59" s="335">
        <f>INDEX(Tabela1[Valor RH / Executado],MATCH(Planejamento2025[[#This Row],[ID]],Tabela1[ID],0))</f>
        <v>0</v>
      </c>
      <c r="AA59" s="184">
        <f>INDEX(Tabela1[Valor Insumo / Executado],MATCH(Planejamento2025[[#This Row],[ID]],Tabela1[ID],0))</f>
        <v>0</v>
      </c>
      <c r="AB59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9" s="338" t="s">
        <v>5</v>
      </c>
      <c r="AD59" s="338" t="s">
        <v>15</v>
      </c>
      <c r="AE5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9" s="423" t="s">
        <v>421</v>
      </c>
      <c r="AG59" s="347"/>
    </row>
    <row r="60" spans="1:33" s="148" customFormat="1" ht="30" customHeight="1" x14ac:dyDescent="0.25">
      <c r="A60" s="337" t="s">
        <v>310</v>
      </c>
      <c r="B60" s="337" t="s">
        <v>149</v>
      </c>
      <c r="C60" s="47" t="s">
        <v>137</v>
      </c>
      <c r="D60" s="47" t="s">
        <v>230</v>
      </c>
      <c r="E60" s="337" t="s">
        <v>179</v>
      </c>
      <c r="F60" s="337" t="s">
        <v>401</v>
      </c>
      <c r="G60" s="337" t="s">
        <v>193</v>
      </c>
      <c r="H60" s="43">
        <v>0.625</v>
      </c>
      <c r="I60" s="43"/>
      <c r="J60" s="43"/>
      <c r="K60" s="43" t="s">
        <v>100</v>
      </c>
      <c r="L60" s="43"/>
      <c r="M60" s="43"/>
      <c r="N60" s="230" t="str">
        <f t="shared" si="1"/>
        <v>1101111</v>
      </c>
      <c r="O60" s="43">
        <v>0.70833333333333337</v>
      </c>
      <c r="P60" s="43">
        <v>0.75</v>
      </c>
      <c r="Q60" s="43">
        <f>Planejamento2025[[#This Row],[Saída]]-Planejamento2025[[#This Row],[Entrada]]</f>
        <v>4.166666666666663E-2</v>
      </c>
      <c r="R60" s="130">
        <f>Planejamento2025[[#This Row],[Carga Horária]]/Q60</f>
        <v>15.000000000000014</v>
      </c>
      <c r="S60" s="44">
        <v>45875</v>
      </c>
      <c r="T60" s="44">
        <f>WORKDAY.INTL(S60,R60,Planejamento2025[[#This Row],[Padrão]],Calendário!$R$4:$R$35)</f>
        <v>45987</v>
      </c>
      <c r="U60" s="338" t="s">
        <v>198</v>
      </c>
      <c r="V60" s="339"/>
      <c r="W60" s="348">
        <v>55</v>
      </c>
      <c r="X60" s="341">
        <f>IF(Planejamento2025[[#This Row],[Fonte Pagadora]]="Anna de Moura",(W60*H60*24),"R$ 0,00")</f>
        <v>825</v>
      </c>
      <c r="Y60" s="349"/>
      <c r="Z60" s="335"/>
      <c r="AA60" s="184">
        <f>INDEX(Tabela1[Valor Insumo / Executado],MATCH(Planejamento2025[[#This Row],[ID]],Tabela1[ID],0))</f>
        <v>0</v>
      </c>
      <c r="AB6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0" s="338" t="s">
        <v>5</v>
      </c>
      <c r="AD60" s="338" t="s">
        <v>5</v>
      </c>
      <c r="AE60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0" s="423" t="s">
        <v>437</v>
      </c>
      <c r="AG60" s="347"/>
    </row>
    <row r="61" spans="1:33" s="148" customFormat="1" ht="30" customHeight="1" x14ac:dyDescent="0.25">
      <c r="A61" s="337" t="s">
        <v>320</v>
      </c>
      <c r="B61" s="337" t="s">
        <v>152</v>
      </c>
      <c r="C61" s="47" t="s">
        <v>137</v>
      </c>
      <c r="D61" s="47" t="s">
        <v>228</v>
      </c>
      <c r="E61" s="337" t="s">
        <v>181</v>
      </c>
      <c r="F61" s="337" t="s">
        <v>401</v>
      </c>
      <c r="G61" s="337" t="s">
        <v>194</v>
      </c>
      <c r="H61" s="43">
        <v>1.8333333333333333</v>
      </c>
      <c r="I61" s="43"/>
      <c r="J61" s="43"/>
      <c r="K61" s="43" t="s">
        <v>100</v>
      </c>
      <c r="L61" s="43"/>
      <c r="M61" s="43"/>
      <c r="N61" s="230" t="str">
        <f t="shared" si="1"/>
        <v>1101111</v>
      </c>
      <c r="O61" s="43">
        <v>0.79166666666666663</v>
      </c>
      <c r="P61" s="43">
        <v>0.89583333333333337</v>
      </c>
      <c r="Q61" s="43">
        <f>Planejamento2025[[#This Row],[Saída]]-Planejamento2025[[#This Row],[Entrada]]</f>
        <v>0.10416666666666674</v>
      </c>
      <c r="R61" s="130">
        <f>Planejamento2025[[#This Row],[Carga Horária]]/Q61</f>
        <v>17.599999999999987</v>
      </c>
      <c r="S61" s="44">
        <v>45875</v>
      </c>
      <c r="T61" s="44">
        <f>WORKDAY.INTL(S61,R61,Planejamento2025[[#This Row],[Padrão]],Calendário!$R$4:$R$35)</f>
        <v>46001</v>
      </c>
      <c r="U61" s="338" t="s">
        <v>200</v>
      </c>
      <c r="V61" s="339"/>
      <c r="W61" s="348">
        <v>47.5</v>
      </c>
      <c r="X61" s="341">
        <f>IF(Planejamento2025[[#This Row],[Fonte Pagadora]]="Anna de Moura",(W61*H61*24),"R$ 0,00")</f>
        <v>2090</v>
      </c>
      <c r="Y61" s="349">
        <v>0</v>
      </c>
      <c r="Z61" s="335"/>
      <c r="AA61" s="184">
        <f>INDEX(Tabela1[Valor Insumo / Executado],MATCH(Planejamento2025[[#This Row],[ID]],Tabela1[ID],0))</f>
        <v>0</v>
      </c>
      <c r="AB61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1" s="338" t="s">
        <v>5</v>
      </c>
      <c r="AD61" s="338" t="s">
        <v>5</v>
      </c>
      <c r="AE61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1" s="423" t="s">
        <v>436</v>
      </c>
      <c r="AG61" s="347"/>
    </row>
    <row r="62" spans="1:33" s="232" customFormat="1" ht="30" customHeight="1" x14ac:dyDescent="0.25">
      <c r="A6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Monde _T1</v>
      </c>
      <c r="B62" s="337" t="s">
        <v>354</v>
      </c>
      <c r="C62" s="47" t="s">
        <v>137</v>
      </c>
      <c r="D62" s="47" t="s">
        <v>230</v>
      </c>
      <c r="E62" s="337" t="s">
        <v>90</v>
      </c>
      <c r="F62" s="337" t="s">
        <v>397</v>
      </c>
      <c r="G62" s="337" t="s">
        <v>259</v>
      </c>
      <c r="H62" s="43">
        <v>3.3333333333333335</v>
      </c>
      <c r="I62" s="43"/>
      <c r="J62" s="43"/>
      <c r="K62" s="43" t="s">
        <v>100</v>
      </c>
      <c r="L62" s="43"/>
      <c r="M62" s="43" t="s">
        <v>100</v>
      </c>
      <c r="N62" s="43" t="str">
        <f t="shared" si="1"/>
        <v>1101011</v>
      </c>
      <c r="O62" s="43">
        <v>0.54166666666666663</v>
      </c>
      <c r="P62" s="43">
        <v>0.70833333333333337</v>
      </c>
      <c r="Q62" s="43">
        <f>Planejamento2025[[#This Row],[Saída]]-Planejamento2025[[#This Row],[Entrada]]</f>
        <v>0.16666666666666674</v>
      </c>
      <c r="R62" s="130">
        <f>Planejamento2025[[#This Row],[Carga Horária]]/Q62</f>
        <v>19.999999999999993</v>
      </c>
      <c r="S62" s="44">
        <v>45875</v>
      </c>
      <c r="T62" s="44">
        <f>WORKDAY.INTL(S62,R62,Planejamento2025[[#This Row],[Padrão]],Calendário!$R$4:$R$35)</f>
        <v>45940</v>
      </c>
      <c r="U62" s="338" t="s">
        <v>198</v>
      </c>
      <c r="V62" s="339">
        <v>16</v>
      </c>
      <c r="W62" s="340"/>
      <c r="X62" s="341" t="str">
        <f>IF(Planejamento2025[[#This Row],[Fonte Pagadora]]="Anna de Moura",(W62*H62*24),"R$ 0,00")</f>
        <v>R$ 0,00</v>
      </c>
      <c r="Y62" s="341"/>
      <c r="Z62" s="335">
        <f>INDEX(Tabela1[Valor RH / Executado],MATCH(Planejamento2025[[#This Row],[ID]],Tabela1[ID],0))</f>
        <v>0</v>
      </c>
      <c r="AA62" s="184">
        <f>INDEX(Tabela1[Valor Insumo / Executado],MATCH(Planejamento2025[[#This Row],[ID]],Tabela1[ID],0))</f>
        <v>0</v>
      </c>
      <c r="AB62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2" s="338" t="s">
        <v>15</v>
      </c>
      <c r="AD62" s="338" t="s">
        <v>15</v>
      </c>
      <c r="AE6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2" s="423" t="s">
        <v>435</v>
      </c>
      <c r="AG62" s="347"/>
    </row>
    <row r="63" spans="1:33" s="325" customFormat="1" ht="30" customHeight="1" x14ac:dyDescent="0.25">
      <c r="A6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EleIns_T2</v>
      </c>
      <c r="B63" s="337" t="s">
        <v>88</v>
      </c>
      <c r="C63" s="47" t="s">
        <v>138</v>
      </c>
      <c r="D63" s="47" t="s">
        <v>228</v>
      </c>
      <c r="E63" s="337" t="s">
        <v>90</v>
      </c>
      <c r="F63" s="337" t="s">
        <v>399</v>
      </c>
      <c r="G63" s="337" t="s">
        <v>259</v>
      </c>
      <c r="H63" s="43">
        <v>6.666666666666667</v>
      </c>
      <c r="I63" s="43"/>
      <c r="J63" s="43" t="s">
        <v>100</v>
      </c>
      <c r="K63" s="43" t="s">
        <v>100</v>
      </c>
      <c r="L63" s="43" t="s">
        <v>100</v>
      </c>
      <c r="M63" s="43"/>
      <c r="N63" s="43" t="str">
        <f t="shared" si="1"/>
        <v>1000111</v>
      </c>
      <c r="O63" s="43">
        <v>0.77083333333333337</v>
      </c>
      <c r="P63" s="43">
        <v>0.91666666666666663</v>
      </c>
      <c r="Q63" s="43">
        <f>Planejamento2025[[#This Row],[Saída]]-Planejamento2025[[#This Row],[Entrada]]</f>
        <v>0.14583333333333326</v>
      </c>
      <c r="R63" s="130">
        <f>Planejamento2025[[#This Row],[Carga Horária]]/Q63</f>
        <v>45.714285714285737</v>
      </c>
      <c r="S63" s="44">
        <v>45875</v>
      </c>
      <c r="T63" s="44">
        <v>45960</v>
      </c>
      <c r="U63" s="338" t="s">
        <v>198</v>
      </c>
      <c r="V63" s="339">
        <v>16</v>
      </c>
      <c r="W63" s="340"/>
      <c r="X63" s="341" t="str">
        <f>IF(Planejamento2025[[#This Row],[Fonte Pagadora]]="Anna de Moura",(W63*H63*24),"R$ 0,00")</f>
        <v>R$ 0,00</v>
      </c>
      <c r="Y63" s="341"/>
      <c r="Z63" s="335">
        <f>INDEX(Tabela1[Valor RH / Executado],MATCH(Planejamento2025[[#This Row],[ID]],Tabela1[ID],0))</f>
        <v>0</v>
      </c>
      <c r="AA63" s="184">
        <f>INDEX(Tabela1[Valor Insumo / Executado],MATCH(Planejamento2025[[#This Row],[ID]],Tabela1[ID],0))</f>
        <v>0</v>
      </c>
      <c r="AB63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3" s="338" t="s">
        <v>15</v>
      </c>
      <c r="AD63" s="338" t="s">
        <v>15</v>
      </c>
      <c r="AE6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3" s="423" t="s">
        <v>435</v>
      </c>
      <c r="AG63" s="347" t="s">
        <v>351</v>
      </c>
    </row>
    <row r="64" spans="1:33" s="326" customFormat="1" ht="30" customHeight="1" x14ac:dyDescent="0.25">
      <c r="A6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_T3</v>
      </c>
      <c r="B64" s="337" t="s">
        <v>153</v>
      </c>
      <c r="C64" s="47" t="s">
        <v>252</v>
      </c>
      <c r="D64" s="47" t="s">
        <v>230</v>
      </c>
      <c r="E64" s="337" t="s">
        <v>182</v>
      </c>
      <c r="F64" s="337" t="s">
        <v>401</v>
      </c>
      <c r="G64" s="337" t="s">
        <v>195</v>
      </c>
      <c r="H64" s="43">
        <v>1.5</v>
      </c>
      <c r="I64" s="43"/>
      <c r="J64" s="43"/>
      <c r="K64" s="43"/>
      <c r="L64" s="43" t="s">
        <v>139</v>
      </c>
      <c r="M64" s="43"/>
      <c r="N64" s="43" t="str">
        <f t="shared" si="1"/>
        <v>1110111</v>
      </c>
      <c r="O64" s="43">
        <v>0.58333333333333337</v>
      </c>
      <c r="P64" s="43">
        <v>0.70833333333333337</v>
      </c>
      <c r="Q64" s="43">
        <f>Planejamento2025[[#This Row],[Saída]]-Planejamento2025[[#This Row],[Entrada]]</f>
        <v>0.125</v>
      </c>
      <c r="R64" s="130">
        <f>Planejamento2025[[#This Row],[Carga Horária]]/Q64</f>
        <v>12</v>
      </c>
      <c r="S64" s="44">
        <v>45876</v>
      </c>
      <c r="T64" s="44">
        <v>45953</v>
      </c>
      <c r="U64" s="338" t="s">
        <v>279</v>
      </c>
      <c r="V64" s="339">
        <v>32</v>
      </c>
      <c r="W64" s="340">
        <v>47.5</v>
      </c>
      <c r="X64" s="341">
        <f>IF(Planejamento2025[[#This Row],[Fonte Pagadora]]="Anna de Moura",(W64*H64*24),"R$ 0,00")</f>
        <v>1710</v>
      </c>
      <c r="Y64" s="341"/>
      <c r="Z64" s="335">
        <f>INDEX(Tabela1[Valor RH / Executado],MATCH(Planejamento2025[[#This Row],[ID]],Tabela1[ID],0))</f>
        <v>0</v>
      </c>
      <c r="AA64" s="184">
        <f>INDEX(Tabela1[Valor Insumo / Executado],MATCH(Planejamento2025[[#This Row],[ID]],Tabela1[ID],0))</f>
        <v>0</v>
      </c>
      <c r="AB64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4" s="338" t="s">
        <v>5</v>
      </c>
      <c r="AD64" s="338" t="s">
        <v>5</v>
      </c>
      <c r="AE6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4" s="423" t="s">
        <v>417</v>
      </c>
      <c r="AG64" s="347"/>
    </row>
    <row r="65" spans="1:33" s="148" customFormat="1" ht="30" customHeight="1" x14ac:dyDescent="0.25">
      <c r="A6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PacOff_T5</v>
      </c>
      <c r="B65" s="337" t="s">
        <v>78</v>
      </c>
      <c r="C65" s="47" t="s">
        <v>377</v>
      </c>
      <c r="D65" s="47" t="s">
        <v>230</v>
      </c>
      <c r="E65" s="337" t="s">
        <v>74</v>
      </c>
      <c r="F65" s="337" t="s">
        <v>397</v>
      </c>
      <c r="G65" s="337" t="s">
        <v>353</v>
      </c>
      <c r="H65" s="43">
        <v>4</v>
      </c>
      <c r="I65" s="43"/>
      <c r="J65" s="43"/>
      <c r="K65" s="43" t="s">
        <v>100</v>
      </c>
      <c r="L65" s="43"/>
      <c r="M65" s="43" t="s">
        <v>100</v>
      </c>
      <c r="N65" s="43" t="str">
        <f t="shared" si="1"/>
        <v>1101011</v>
      </c>
      <c r="O65" s="43">
        <v>0.54166666666666663</v>
      </c>
      <c r="P65" s="43">
        <v>0.70833333333333337</v>
      </c>
      <c r="Q65" s="43">
        <f>Planejamento2025[[#This Row],[Saída]]-Planejamento2025[[#This Row],[Entrada]]</f>
        <v>0.16666666666666674</v>
      </c>
      <c r="R65" s="130">
        <f>Planejamento2025[[#This Row],[Carga Horária]]/Q65</f>
        <v>23.999999999999989</v>
      </c>
      <c r="S65" s="44">
        <v>45889</v>
      </c>
      <c r="T65" s="44">
        <v>45989</v>
      </c>
      <c r="U65" s="338" t="s">
        <v>378</v>
      </c>
      <c r="V65" s="339">
        <v>14</v>
      </c>
      <c r="W65" s="348">
        <v>0</v>
      </c>
      <c r="X65" s="341" t="str">
        <f>IF(Planejamento2025[[#This Row],[Fonte Pagadora]]="Anna de Moura",(W65*H65*24),"R$ 0,00")</f>
        <v>R$ 0,00</v>
      </c>
      <c r="Y65" s="349"/>
      <c r="Z65" s="335">
        <f>INDEX(Tabela1[Valor RH / Executado],MATCH(Planejamento2025[[#This Row],[ID]],Tabela1[ID],0))</f>
        <v>0</v>
      </c>
      <c r="AA65" s="184">
        <f>INDEX(Tabela1[Valor Insumo / Executado],MATCH(Planejamento2025[[#This Row],[ID]],Tabela1[ID],0))</f>
        <v>0</v>
      </c>
      <c r="AB6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5" s="338" t="s">
        <v>15</v>
      </c>
      <c r="AD65" s="338" t="s">
        <v>15</v>
      </c>
      <c r="AE6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5" s="423" t="s">
        <v>423</v>
      </c>
      <c r="AG65" s="347"/>
    </row>
    <row r="66" spans="1:33" s="148" customFormat="1" ht="30" customHeight="1" x14ac:dyDescent="0.25">
      <c r="A6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SalFri_T1</v>
      </c>
      <c r="B66" s="337" t="s">
        <v>359</v>
      </c>
      <c r="C66" s="47" t="s">
        <v>137</v>
      </c>
      <c r="D66" s="47" t="s">
        <v>228</v>
      </c>
      <c r="E66" s="337" t="s">
        <v>213</v>
      </c>
      <c r="F66" s="337" t="s">
        <v>397</v>
      </c>
      <c r="G66" s="337" t="s">
        <v>186</v>
      </c>
      <c r="H66" s="43">
        <v>0.75</v>
      </c>
      <c r="I66" s="43"/>
      <c r="J66" s="43" t="s">
        <v>100</v>
      </c>
      <c r="K66" s="43" t="s">
        <v>100</v>
      </c>
      <c r="L66" s="43"/>
      <c r="M66" s="43"/>
      <c r="N66" s="43" t="str">
        <f t="shared" ref="N66:N79" si="2">IF(I66="X","0","1")&amp;IF(J66="X","0","1")&amp;IF(K66="X","0","1")&amp;IF(L66="X","0","1")&amp;IF(M66="X","0","1")&amp;"11"</f>
        <v>1001111</v>
      </c>
      <c r="O66" s="43">
        <v>0.79166666666666663</v>
      </c>
      <c r="P66" s="43">
        <v>0.91666666666666663</v>
      </c>
      <c r="Q66" s="43">
        <f>Planejamento2025[[#This Row],[Saída]]-Planejamento2025[[#This Row],[Entrada]]</f>
        <v>0.125</v>
      </c>
      <c r="R66" s="130">
        <f>Planejamento2025[[#This Row],[Carga Horária]]/Q66</f>
        <v>6</v>
      </c>
      <c r="S66" s="44">
        <v>45902</v>
      </c>
      <c r="T66" s="44">
        <v>45917</v>
      </c>
      <c r="U66" s="338" t="s">
        <v>240</v>
      </c>
      <c r="V66" s="339">
        <v>16</v>
      </c>
      <c r="W66" s="348">
        <v>47.5</v>
      </c>
      <c r="X66" s="341">
        <f>IF(Planejamento2025[[#This Row],[Fonte Pagadora]]="Anna de Moura",(W66*H66*24),"R$ 0,00")</f>
        <v>855</v>
      </c>
      <c r="Y66" s="349"/>
      <c r="Z66" s="335">
        <f>INDEX(Tabela1[Valor RH / Executado],MATCH(Planejamento2025[[#This Row],[ID]],Tabela1[ID],0))</f>
        <v>0</v>
      </c>
      <c r="AA66" s="184">
        <f>INDEX(Tabela1[Valor Insumo / Executado],MATCH(Planejamento2025[[#This Row],[ID]],Tabela1[ID],0))</f>
        <v>0</v>
      </c>
      <c r="AB66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6" s="338" t="s">
        <v>5</v>
      </c>
      <c r="AD66" s="338" t="s">
        <v>5</v>
      </c>
      <c r="AE6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6" s="423"/>
      <c r="AG66" s="347"/>
    </row>
    <row r="67" spans="1:33" s="326" customFormat="1" ht="30" customHeight="1" x14ac:dyDescent="0.25">
      <c r="A6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PowBI_T2</v>
      </c>
      <c r="B67" s="337" t="s">
        <v>358</v>
      </c>
      <c r="C67" s="47" t="s">
        <v>138</v>
      </c>
      <c r="D67" s="47" t="s">
        <v>228</v>
      </c>
      <c r="E67" s="337" t="s">
        <v>74</v>
      </c>
      <c r="F67" s="337" t="s">
        <v>397</v>
      </c>
      <c r="G67" s="337" t="s">
        <v>356</v>
      </c>
      <c r="H67" s="43">
        <v>1.3333333333333333</v>
      </c>
      <c r="I67" s="43"/>
      <c r="J67" s="43" t="s">
        <v>100</v>
      </c>
      <c r="K67" s="43"/>
      <c r="L67" s="43" t="s">
        <v>100</v>
      </c>
      <c r="M67" s="43"/>
      <c r="N67" s="43" t="str">
        <f t="shared" si="2"/>
        <v>1010111</v>
      </c>
      <c r="O67" s="43">
        <v>0.79166666666666663</v>
      </c>
      <c r="P67" s="43">
        <v>0.91666666666666663</v>
      </c>
      <c r="Q67" s="43">
        <f>Planejamento2025[[#This Row],[Saída]]-Planejamento2025[[#This Row],[Entrada]]</f>
        <v>0.125</v>
      </c>
      <c r="R67" s="130">
        <f>Planejamento2025[[#This Row],[Carga Horária]]/Q67</f>
        <v>10.666666666666666</v>
      </c>
      <c r="S67" s="44">
        <v>45909</v>
      </c>
      <c r="T67" s="44">
        <f>WORKDAY.INTL(S67,R67,Planejamento2025[[#This Row],[Padrão]],Calendário!$R$4:$R$35)</f>
        <v>45944</v>
      </c>
      <c r="U67" s="338" t="s">
        <v>199</v>
      </c>
      <c r="V67" s="339">
        <v>16</v>
      </c>
      <c r="W67" s="348"/>
      <c r="X67" s="341" t="str">
        <f>IF(Planejamento2025[[#This Row],[Fonte Pagadora]]="Anna de Moura",(W67*H67*24),"R$ 0,00")</f>
        <v>R$ 0,00</v>
      </c>
      <c r="Y67" s="349"/>
      <c r="Z67" s="335">
        <f>INDEX(Tabela1[Valor RH / Executado],MATCH(Planejamento2025[[#This Row],[ID]],Tabela1[ID],0))</f>
        <v>0</v>
      </c>
      <c r="AA67" s="184">
        <f>INDEX(Tabela1[Valor Insumo / Executado],MATCH(Planejamento2025[[#This Row],[ID]],Tabela1[ID],0))</f>
        <v>0</v>
      </c>
      <c r="AB67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7" s="338" t="s">
        <v>15</v>
      </c>
      <c r="AD67" s="338" t="s">
        <v>15</v>
      </c>
      <c r="AE6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7" s="423"/>
      <c r="AG67" s="347"/>
    </row>
    <row r="68" spans="1:33" s="326" customFormat="1" ht="30" customHeight="1" x14ac:dyDescent="0.25">
      <c r="A6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Elade _T1</v>
      </c>
      <c r="B68" s="337" t="s">
        <v>349</v>
      </c>
      <c r="C68" s="47" t="s">
        <v>137</v>
      </c>
      <c r="D68" s="47" t="s">
        <v>228</v>
      </c>
      <c r="E68" s="337" t="s">
        <v>90</v>
      </c>
      <c r="F68" s="337" t="s">
        <v>397</v>
      </c>
      <c r="G68" s="337" t="s">
        <v>350</v>
      </c>
      <c r="H68" s="43">
        <v>1</v>
      </c>
      <c r="I68" s="43"/>
      <c r="J68" s="43"/>
      <c r="K68" s="43" t="s">
        <v>100</v>
      </c>
      <c r="L68" s="43"/>
      <c r="M68" s="43"/>
      <c r="N68" s="43" t="str">
        <f t="shared" si="2"/>
        <v>1101111</v>
      </c>
      <c r="O68" s="43">
        <v>0.79166666666666663</v>
      </c>
      <c r="P68" s="43">
        <v>0.91666666666666663</v>
      </c>
      <c r="Q68" s="43">
        <f>Planejamento2025[[#This Row],[Saída]]-Planejamento2025[[#This Row],[Entrada]]</f>
        <v>0.125</v>
      </c>
      <c r="R68" s="130">
        <f>Planejamento2025[[#This Row],[Carga Horária]]/Q68</f>
        <v>8</v>
      </c>
      <c r="S68" s="44">
        <v>45917</v>
      </c>
      <c r="T68" s="44">
        <v>45966</v>
      </c>
      <c r="U68" s="338" t="s">
        <v>198</v>
      </c>
      <c r="V68" s="339">
        <v>16</v>
      </c>
      <c r="W68" s="348"/>
      <c r="X68" s="341" t="str">
        <f>IF(Planejamento2025[[#This Row],[Fonte Pagadora]]="Anna de Moura",(W68*H68*24),"R$ 0,00")</f>
        <v>R$ 0,00</v>
      </c>
      <c r="Y68" s="349"/>
      <c r="Z68" s="335">
        <f>INDEX(Tabela1[Valor RH / Executado],MATCH(Planejamento2025[[#This Row],[ID]],Tabela1[ID],0))</f>
        <v>0</v>
      </c>
      <c r="AA68" s="184">
        <f>INDEX(Tabela1[Valor Insumo / Executado],MATCH(Planejamento2025[[#This Row],[ID]],Tabela1[ID],0))</f>
        <v>0</v>
      </c>
      <c r="AB6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8" s="338" t="s">
        <v>15</v>
      </c>
      <c r="AD68" s="338" t="s">
        <v>15</v>
      </c>
      <c r="AE68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8" s="423"/>
      <c r="AG68" s="347"/>
    </row>
    <row r="69" spans="1:33" s="326" customFormat="1" ht="30" customHeight="1" x14ac:dyDescent="0.25">
      <c r="A6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Kai _T1</v>
      </c>
      <c r="B69" s="337" t="s">
        <v>355</v>
      </c>
      <c r="C69" s="47" t="s">
        <v>137</v>
      </c>
      <c r="D69" s="47" t="s">
        <v>230</v>
      </c>
      <c r="E69" s="337" t="s">
        <v>76</v>
      </c>
      <c r="F69" s="337" t="s">
        <v>397</v>
      </c>
      <c r="G69" s="337" t="s">
        <v>353</v>
      </c>
      <c r="H69" s="43">
        <v>0.66666666666666663</v>
      </c>
      <c r="I69" s="43"/>
      <c r="J69" s="43" t="s">
        <v>100</v>
      </c>
      <c r="K69" s="43"/>
      <c r="L69" s="43" t="s">
        <v>100</v>
      </c>
      <c r="M69" s="43"/>
      <c r="N69" s="43" t="str">
        <f t="shared" si="2"/>
        <v>1010111</v>
      </c>
      <c r="O69" s="43">
        <v>0.54166666666666663</v>
      </c>
      <c r="P69" s="43">
        <v>0.70833333333333337</v>
      </c>
      <c r="Q69" s="43">
        <f>Planejamento2025[[#This Row],[Saída]]-Planejamento2025[[#This Row],[Entrada]]</f>
        <v>0.16666666666666674</v>
      </c>
      <c r="R69" s="130">
        <f>Planejamento2025[[#This Row],[Carga Horária]]/Q69</f>
        <v>3.9999999999999982</v>
      </c>
      <c r="S69" s="44">
        <v>45930</v>
      </c>
      <c r="T69" s="44">
        <f>WORKDAY.INTL(S69,R69,Planejamento2025[[#This Row],[Padrão]],Calendário!$R$4:$R$35)</f>
        <v>45939</v>
      </c>
      <c r="U69" s="338" t="s">
        <v>199</v>
      </c>
      <c r="V69" s="339">
        <v>16</v>
      </c>
      <c r="W69" s="348"/>
      <c r="X69" s="341" t="str">
        <f>IF(Planejamento2025[[#This Row],[Fonte Pagadora]]="Anna de Moura",(W69*H69*24),"R$ 0,00")</f>
        <v>R$ 0,00</v>
      </c>
      <c r="Y69" s="349"/>
      <c r="Z69" s="335">
        <f>INDEX(Tabela1[Valor RH / Executado],MATCH(Planejamento2025[[#This Row],[ID]],Tabela1[ID],0))</f>
        <v>0</v>
      </c>
      <c r="AA69" s="184">
        <f>INDEX(Tabela1[Valor Insumo / Executado],MATCH(Planejamento2025[[#This Row],[ID]],Tabela1[ID],0))</f>
        <v>0</v>
      </c>
      <c r="AB69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9" s="338" t="s">
        <v>15</v>
      </c>
      <c r="AD69" s="338" t="s">
        <v>15</v>
      </c>
      <c r="AE6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9" s="423"/>
      <c r="AG69" s="347"/>
    </row>
    <row r="70" spans="1:33" s="148" customFormat="1" ht="30" customHeight="1" x14ac:dyDescent="0.25">
      <c r="A7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_T2</v>
      </c>
      <c r="B70" s="337" t="s">
        <v>266</v>
      </c>
      <c r="C70" s="47" t="s">
        <v>138</v>
      </c>
      <c r="D70" s="47" t="s">
        <v>228</v>
      </c>
      <c r="E70" s="337" t="s">
        <v>213</v>
      </c>
      <c r="F70" s="337" t="s">
        <v>397</v>
      </c>
      <c r="G70" s="337" t="s">
        <v>186</v>
      </c>
      <c r="H70" s="43">
        <v>0.75</v>
      </c>
      <c r="I70" s="43"/>
      <c r="J70" s="43" t="s">
        <v>100</v>
      </c>
      <c r="K70" s="43" t="s">
        <v>100</v>
      </c>
      <c r="L70" s="43"/>
      <c r="M70" s="43"/>
      <c r="N70" s="43" t="str">
        <f t="shared" si="2"/>
        <v>1001111</v>
      </c>
      <c r="O70" s="43">
        <v>0.79166666666666663</v>
      </c>
      <c r="P70" s="43">
        <v>0.91666666666666663</v>
      </c>
      <c r="Q70" s="43">
        <f>Planejamento2025[[#This Row],[Saída]]-Planejamento2025[[#This Row],[Entrada]]</f>
        <v>0.125</v>
      </c>
      <c r="R70" s="130">
        <f>Planejamento2025[[#This Row],[Carga Horária]]/Q70</f>
        <v>6</v>
      </c>
      <c r="S70" s="44">
        <v>45931</v>
      </c>
      <c r="T70" s="44">
        <v>45952</v>
      </c>
      <c r="U70" s="338" t="s">
        <v>198</v>
      </c>
      <c r="V70" s="339">
        <v>16</v>
      </c>
      <c r="W70" s="348">
        <v>47.5</v>
      </c>
      <c r="X70" s="341">
        <f>IF(Planejamento2025[[#This Row],[Fonte Pagadora]]="Anna de Moura",(W70*H70*24),"R$ 0,00")</f>
        <v>855</v>
      </c>
      <c r="Y70" s="349"/>
      <c r="Z70" s="335">
        <f>INDEX(Tabela1[Valor RH / Executado],MATCH(Planejamento2025[[#This Row],[ID]],Tabela1[ID],0))</f>
        <v>0</v>
      </c>
      <c r="AA70" s="184">
        <f>INDEX(Tabela1[Valor Insumo / Executado],MATCH(Planejamento2025[[#This Row],[ID]],Tabela1[ID],0))</f>
        <v>0</v>
      </c>
      <c r="AB7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0" s="338" t="s">
        <v>5</v>
      </c>
      <c r="AD70" s="338" t="s">
        <v>5</v>
      </c>
      <c r="AE70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0" s="423"/>
      <c r="AG70" s="347"/>
    </row>
    <row r="71" spans="1:33" s="148" customFormat="1" ht="30" customHeight="1" x14ac:dyDescent="0.25">
      <c r="A7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_T2</v>
      </c>
      <c r="B71" s="337" t="s">
        <v>361</v>
      </c>
      <c r="C71" s="47" t="s">
        <v>138</v>
      </c>
      <c r="D71" s="47" t="s">
        <v>228</v>
      </c>
      <c r="E71" s="337" t="s">
        <v>76</v>
      </c>
      <c r="F71" s="337" t="s">
        <v>397</v>
      </c>
      <c r="G71" s="337" t="s">
        <v>188</v>
      </c>
      <c r="H71" s="43">
        <v>0.83333333333333337</v>
      </c>
      <c r="I71" s="43"/>
      <c r="J71" s="43" t="s">
        <v>100</v>
      </c>
      <c r="K71" s="43"/>
      <c r="L71" s="43" t="s">
        <v>100</v>
      </c>
      <c r="M71" s="43"/>
      <c r="N71" s="43" t="str">
        <f t="shared" si="2"/>
        <v>1010111</v>
      </c>
      <c r="O71" s="43">
        <v>0.79166666666666663</v>
      </c>
      <c r="P71" s="43">
        <v>0.91666666666666663</v>
      </c>
      <c r="Q71" s="43">
        <f>Planejamento2025[[#This Row],[Saída]]-Planejamento2025[[#This Row],[Entrada]]</f>
        <v>0.125</v>
      </c>
      <c r="R71" s="130">
        <f>Planejamento2025[[#This Row],[Carga Horária]]/Q71</f>
        <v>6.666666666666667</v>
      </c>
      <c r="S71" s="44">
        <v>45937</v>
      </c>
      <c r="T71" s="44">
        <f>WORKDAY.INTL(S71,R71,Planejamento2025[[#This Row],[Padrão]],Calendário!$R$4:$R$35)</f>
        <v>45958</v>
      </c>
      <c r="U71" s="338" t="s">
        <v>199</v>
      </c>
      <c r="V71" s="339">
        <v>20</v>
      </c>
      <c r="W71" s="348">
        <v>47.5</v>
      </c>
      <c r="X71" s="341">
        <f>IF(Planejamento2025[[#This Row],[Fonte Pagadora]]="Anna de Moura",(W71*H71*24),"R$ 0,00")</f>
        <v>950</v>
      </c>
      <c r="Y71" s="349"/>
      <c r="Z71" s="335">
        <f>INDEX(Tabela1[Valor RH / Executado],MATCH(Planejamento2025[[#This Row],[ID]],Tabela1[ID],0))</f>
        <v>0</v>
      </c>
      <c r="AA71" s="184">
        <f>INDEX(Tabela1[Valor Insumo / Executado],MATCH(Planejamento2025[[#This Row],[ID]],Tabela1[ID],0))</f>
        <v>0</v>
      </c>
      <c r="AB71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1" s="338" t="s">
        <v>5</v>
      </c>
      <c r="AD71" s="338" t="s">
        <v>15</v>
      </c>
      <c r="AE71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71" s="423"/>
      <c r="AG71" s="347"/>
    </row>
    <row r="72" spans="1:33" s="326" customFormat="1" ht="30" customHeight="1" x14ac:dyDescent="0.25">
      <c r="A7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_T3</v>
      </c>
      <c r="B72" s="337" t="s">
        <v>86</v>
      </c>
      <c r="C72" s="47" t="s">
        <v>252</v>
      </c>
      <c r="D72" s="47" t="s">
        <v>230</v>
      </c>
      <c r="E72" s="337"/>
      <c r="F72" s="337" t="s">
        <v>397</v>
      </c>
      <c r="G72" s="337" t="s">
        <v>251</v>
      </c>
      <c r="H72" s="43">
        <v>1</v>
      </c>
      <c r="I72" s="43"/>
      <c r="J72" s="43"/>
      <c r="K72" s="43" t="s">
        <v>100</v>
      </c>
      <c r="L72" s="43"/>
      <c r="M72" s="43" t="s">
        <v>100</v>
      </c>
      <c r="N72" s="43" t="str">
        <f t="shared" si="2"/>
        <v>1101011</v>
      </c>
      <c r="O72" s="43">
        <v>0.54166666666666663</v>
      </c>
      <c r="P72" s="43">
        <v>0.70833333333333337</v>
      </c>
      <c r="Q72" s="43">
        <f>Planejamento2025[[#This Row],[Saída]]-Planejamento2025[[#This Row],[Entrada]]</f>
        <v>0.16666666666666674</v>
      </c>
      <c r="R72" s="130">
        <f>Planejamento2025[[#This Row],[Carga Horária]]/Q72</f>
        <v>5.9999999999999973</v>
      </c>
      <c r="S72" s="44">
        <v>45940</v>
      </c>
      <c r="T72" s="44">
        <v>45959</v>
      </c>
      <c r="U72" s="338" t="s">
        <v>199</v>
      </c>
      <c r="V72" s="339">
        <v>20</v>
      </c>
      <c r="W72" s="348"/>
      <c r="X72" s="341" t="str">
        <f>IF(Planejamento2025[[#This Row],[Fonte Pagadora]]="Anna de Moura",(W72*H72*24),"R$ 0,00")</f>
        <v>R$ 0,00</v>
      </c>
      <c r="Y72" s="349"/>
      <c r="Z72" s="335">
        <f>INDEX(Tabela1[Valor RH / Executado],MATCH(Planejamento2025[[#This Row],[ID]],Tabela1[ID],0))</f>
        <v>0</v>
      </c>
      <c r="AA72" s="184">
        <f>INDEX(Tabela1[Valor Insumo / Executado],MATCH(Planejamento2025[[#This Row],[ID]],Tabela1[ID],0))</f>
        <v>0</v>
      </c>
      <c r="AB7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2" s="338" t="s">
        <v>15</v>
      </c>
      <c r="AD72" s="338" t="s">
        <v>15</v>
      </c>
      <c r="AE72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2" s="423"/>
      <c r="AG72" s="347"/>
    </row>
    <row r="73" spans="1:33" s="326" customFormat="1" ht="30" customHeight="1" x14ac:dyDescent="0.25">
      <c r="A7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AnáTer_T1</v>
      </c>
      <c r="B73" s="337" t="s">
        <v>243</v>
      </c>
      <c r="C73" s="47" t="s">
        <v>137</v>
      </c>
      <c r="D73" s="47" t="s">
        <v>228</v>
      </c>
      <c r="E73" s="337" t="s">
        <v>90</v>
      </c>
      <c r="F73" s="337" t="s">
        <v>397</v>
      </c>
      <c r="G73" s="337" t="s">
        <v>348</v>
      </c>
      <c r="H73" s="43">
        <v>0.66666666666666663</v>
      </c>
      <c r="I73" s="43"/>
      <c r="J73" s="43" t="s">
        <v>100</v>
      </c>
      <c r="K73" s="43" t="s">
        <v>100</v>
      </c>
      <c r="L73" s="43" t="s">
        <v>100</v>
      </c>
      <c r="M73" s="43"/>
      <c r="N73" s="43" t="str">
        <f t="shared" si="2"/>
        <v>1000111</v>
      </c>
      <c r="O73" s="43">
        <v>0.78125</v>
      </c>
      <c r="P73" s="43">
        <v>0.91666666666666663</v>
      </c>
      <c r="Q73" s="43">
        <f>Planejamento2025[[#This Row],[Saída]]-Planejamento2025[[#This Row],[Entrada]]</f>
        <v>0.13541666666666663</v>
      </c>
      <c r="R73" s="130">
        <f>Planejamento2025[[#This Row],[Carga Horária]]/Q73</f>
        <v>4.9230769230769242</v>
      </c>
      <c r="S73" s="44">
        <v>45944</v>
      </c>
      <c r="T73" s="44">
        <f>WORKDAY.INTL(S73,R73,Planejamento2025[[#This Row],[Padrão]],Calendário!$R$4:$R$35)</f>
        <v>45953</v>
      </c>
      <c r="U73" s="338" t="s">
        <v>198</v>
      </c>
      <c r="V73" s="339">
        <v>16</v>
      </c>
      <c r="W73" s="348"/>
      <c r="X73" s="341" t="str">
        <f>IF(Planejamento2025[[#This Row],[Fonte Pagadora]]="Anna de Moura",(W73*H73*24),"R$ 0,00")</f>
        <v>R$ 0,00</v>
      </c>
      <c r="Y73" s="349"/>
      <c r="Z73" s="335">
        <f>INDEX(Tabela1[Valor RH / Executado],MATCH(Planejamento2025[[#This Row],[ID]],Tabela1[ID],0))</f>
        <v>0</v>
      </c>
      <c r="AA73" s="184">
        <f>INDEX(Tabela1[Valor Insumo / Executado],MATCH(Planejamento2025[[#This Row],[ID]],Tabela1[ID],0))</f>
        <v>0</v>
      </c>
      <c r="AB7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3" s="338" t="s">
        <v>15</v>
      </c>
      <c r="AD73" s="338" t="s">
        <v>15</v>
      </c>
      <c r="AE73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3" s="423"/>
      <c r="AG73" s="347"/>
    </row>
    <row r="74" spans="1:33" s="326" customFormat="1" ht="30" customHeight="1" x14ac:dyDescent="0.25">
      <c r="A74" s="337" t="s">
        <v>380</v>
      </c>
      <c r="B74" s="337" t="s">
        <v>379</v>
      </c>
      <c r="C74" s="47" t="s">
        <v>137</v>
      </c>
      <c r="D74" s="47" t="s">
        <v>228</v>
      </c>
      <c r="E74" s="337"/>
      <c r="F74" s="337" t="s">
        <v>397</v>
      </c>
      <c r="G74" s="337" t="s">
        <v>348</v>
      </c>
      <c r="H74" s="43">
        <v>0.33333333333333331</v>
      </c>
      <c r="I74" s="43"/>
      <c r="J74" s="43" t="s">
        <v>100</v>
      </c>
      <c r="K74" s="43" t="s">
        <v>100</v>
      </c>
      <c r="L74" s="43" t="s">
        <v>100</v>
      </c>
      <c r="M74" s="43"/>
      <c r="N74" s="43" t="str">
        <f t="shared" si="2"/>
        <v>1000111</v>
      </c>
      <c r="O74" s="43">
        <v>0.79166666666666663</v>
      </c>
      <c r="P74" s="43">
        <v>0.91666666666666663</v>
      </c>
      <c r="Q74" s="43">
        <f>Planejamento2025[[#This Row],[Saída]]-Planejamento2025[[#This Row],[Entrada]]</f>
        <v>0.125</v>
      </c>
      <c r="R74" s="130">
        <f>Planejamento2025[[#This Row],[Carga Horária]]/Q74</f>
        <v>2.6666666666666665</v>
      </c>
      <c r="S74" s="44">
        <v>45958</v>
      </c>
      <c r="T74" s="44">
        <f>WORKDAY.INTL(S74,R74,Planejamento2025[[#This Row],[Padrão]],Calendário!$R$4:$R$35)</f>
        <v>45960</v>
      </c>
      <c r="U74" s="338" t="s">
        <v>198</v>
      </c>
      <c r="V74" s="339">
        <v>16</v>
      </c>
      <c r="W74" s="348"/>
      <c r="X74" s="341" t="str">
        <f>IF(Planejamento2025[[#This Row],[Fonte Pagadora]]="Anna de Moura",(W74*H74*24),"R$ 0,00")</f>
        <v>R$ 0,00</v>
      </c>
      <c r="Y74" s="349"/>
      <c r="Z74" s="335">
        <f>INDEX(Tabela1[Valor RH / Executado],MATCH(Planejamento2025[[#This Row],[ID]],Tabela1[ID],0))</f>
        <v>0</v>
      </c>
      <c r="AA74" s="184">
        <f>INDEX(Tabela1[Valor Insumo / Executado],MATCH(Planejamento2025[[#This Row],[ID]],Tabela1[ID],0))</f>
        <v>0</v>
      </c>
      <c r="AB74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4" s="338" t="s">
        <v>15</v>
      </c>
      <c r="AD74" s="338" t="s">
        <v>15</v>
      </c>
      <c r="AE74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4" s="423"/>
      <c r="AG74" s="347"/>
    </row>
    <row r="75" spans="1:33" s="148" customFormat="1" ht="30" customHeight="1" x14ac:dyDescent="0.25">
      <c r="A7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IngAva_T1</v>
      </c>
      <c r="B75" s="337" t="s">
        <v>280</v>
      </c>
      <c r="C75" s="47" t="s">
        <v>137</v>
      </c>
      <c r="D75" s="47" t="s">
        <v>230</v>
      </c>
      <c r="E75" s="337" t="s">
        <v>182</v>
      </c>
      <c r="F75" s="337" t="s">
        <v>397</v>
      </c>
      <c r="G75" s="337" t="s">
        <v>195</v>
      </c>
      <c r="H75" s="43">
        <v>0.625</v>
      </c>
      <c r="I75" s="43"/>
      <c r="J75" s="43"/>
      <c r="K75" s="43"/>
      <c r="L75" s="43" t="s">
        <v>100</v>
      </c>
      <c r="M75" s="43"/>
      <c r="N75" s="43" t="str">
        <f t="shared" si="2"/>
        <v>1110111</v>
      </c>
      <c r="O75" s="43">
        <v>0.58333333333333337</v>
      </c>
      <c r="P75" s="43">
        <v>0.70833333333333337</v>
      </c>
      <c r="Q75" s="43">
        <f>Planejamento2025[[#This Row],[Saída]]-Planejamento2025[[#This Row],[Entrada]]</f>
        <v>0.125</v>
      </c>
      <c r="R75" s="130">
        <f>Planejamento2025[[#This Row],[Carga Horária]]/Q75</f>
        <v>5</v>
      </c>
      <c r="S75" s="44">
        <v>45960</v>
      </c>
      <c r="T75" s="44">
        <v>45995</v>
      </c>
      <c r="U75" s="338" t="s">
        <v>200</v>
      </c>
      <c r="V75" s="339">
        <v>32</v>
      </c>
      <c r="W75" s="348">
        <v>47.5</v>
      </c>
      <c r="X75" s="341">
        <f>IF(Planejamento2025[[#This Row],[Fonte Pagadora]]="Anna de Moura",(W75*H75*24),"R$ 0,00")</f>
        <v>712.5</v>
      </c>
      <c r="Y75" s="349"/>
      <c r="Z75" s="335">
        <f>INDEX(Tabela1[Valor RH / Executado],MATCH(Planejamento2025[[#This Row],[ID]],Tabela1[ID],0))</f>
        <v>0</v>
      </c>
      <c r="AA75" s="184">
        <f>INDEX(Tabela1[Valor Insumo / Executado],MATCH(Planejamento2025[[#This Row],[ID]],Tabela1[ID],0))</f>
        <v>0</v>
      </c>
      <c r="AB7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5" s="338" t="s">
        <v>5</v>
      </c>
      <c r="AD75" s="338" t="s">
        <v>5</v>
      </c>
      <c r="AE75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5" s="423"/>
      <c r="AG75" s="347"/>
    </row>
    <row r="76" spans="1:33" s="148" customFormat="1" ht="30" customHeight="1" x14ac:dyDescent="0.25">
      <c r="A7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Pan _T1</v>
      </c>
      <c r="B76" s="337" t="s">
        <v>342</v>
      </c>
      <c r="C76" s="47" t="s">
        <v>137</v>
      </c>
      <c r="D76" s="47" t="s">
        <v>228</v>
      </c>
      <c r="E76" s="337" t="s">
        <v>213</v>
      </c>
      <c r="F76" s="337" t="s">
        <v>397</v>
      </c>
      <c r="G76" s="337" t="s">
        <v>186</v>
      </c>
      <c r="H76" s="43">
        <v>0.75</v>
      </c>
      <c r="I76" s="43"/>
      <c r="J76" s="43" t="s">
        <v>100</v>
      </c>
      <c r="K76" s="43" t="s">
        <v>100</v>
      </c>
      <c r="L76" s="43"/>
      <c r="M76" s="43"/>
      <c r="N76" s="43" t="str">
        <f t="shared" si="2"/>
        <v>1001111</v>
      </c>
      <c r="O76" s="43">
        <v>0.79166666666666663</v>
      </c>
      <c r="P76" s="43">
        <v>0.91666666666666663</v>
      </c>
      <c r="Q76" s="43">
        <f>Planejamento2025[[#This Row],[Saída]]-Planejamento2025[[#This Row],[Entrada]]</f>
        <v>0.125</v>
      </c>
      <c r="R76" s="130">
        <f>Planejamento2025[[#This Row],[Carga Horária]]/Q76</f>
        <v>6</v>
      </c>
      <c r="S76" s="44">
        <v>45965</v>
      </c>
      <c r="T76" s="44">
        <v>45980</v>
      </c>
      <c r="U76" s="338" t="s">
        <v>198</v>
      </c>
      <c r="V76" s="339">
        <v>16</v>
      </c>
      <c r="W76" s="340">
        <v>47.5</v>
      </c>
      <c r="X76" s="341">
        <f>IF(Planejamento2025[[#This Row],[Fonte Pagadora]]="Anna de Moura",(W76*H76*24),"R$ 0,00")</f>
        <v>855</v>
      </c>
      <c r="Y76" s="341"/>
      <c r="Z76" s="335">
        <f>INDEX(Tabela1[Valor RH / Executado],MATCH(Planejamento2025[[#This Row],[ID]],Tabela1[ID],0))</f>
        <v>0</v>
      </c>
      <c r="AA76" s="184">
        <f>INDEX(Tabela1[Valor Insumo / Executado],MATCH(Planejamento2025[[#This Row],[ID]],Tabela1[ID],0))</f>
        <v>0</v>
      </c>
      <c r="AB76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6" s="338" t="s">
        <v>5</v>
      </c>
      <c r="AD76" s="338" t="s">
        <v>5</v>
      </c>
      <c r="AE76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6" s="423"/>
      <c r="AG76" s="347"/>
    </row>
    <row r="77" spans="1:33" s="326" customFormat="1" ht="30" customHeight="1" x14ac:dyDescent="0.25">
      <c r="A7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ExcBás_T2</v>
      </c>
      <c r="B77" s="337" t="s">
        <v>260</v>
      </c>
      <c r="C77" s="47" t="s">
        <v>138</v>
      </c>
      <c r="D77" s="47" t="s">
        <v>230</v>
      </c>
      <c r="E77" s="337" t="s">
        <v>74</v>
      </c>
      <c r="F77" s="337" t="s">
        <v>397</v>
      </c>
      <c r="G77" s="337" t="s">
        <v>353</v>
      </c>
      <c r="H77" s="43">
        <v>1.6666666666666667</v>
      </c>
      <c r="I77" s="43"/>
      <c r="J77" s="43" t="s">
        <v>100</v>
      </c>
      <c r="K77" s="43"/>
      <c r="L77" s="43" t="s">
        <v>100</v>
      </c>
      <c r="M77" s="43"/>
      <c r="N77" s="43" t="str">
        <f t="shared" si="2"/>
        <v>1010111</v>
      </c>
      <c r="O77" s="43">
        <v>0.54166666666666663</v>
      </c>
      <c r="P77" s="43">
        <v>0.70833333333333337</v>
      </c>
      <c r="Q77" s="43">
        <f>Planejamento2025[[#This Row],[Saída]]-Planejamento2025[[#This Row],[Entrada]]</f>
        <v>0.16666666666666674</v>
      </c>
      <c r="R77" s="130">
        <f>Planejamento2025[[#This Row],[Carga Horária]]/Q77</f>
        <v>9.9999999999999964</v>
      </c>
      <c r="S77" s="44">
        <v>45965</v>
      </c>
      <c r="T77" s="44">
        <f>WORKDAY.INTL(S77,R77,Planejamento2025[[#This Row],[Padrão]],Calendário!$R$4:$R$35)</f>
        <v>46000</v>
      </c>
      <c r="U77" s="338" t="s">
        <v>264</v>
      </c>
      <c r="V77" s="339">
        <v>16</v>
      </c>
      <c r="W77" s="340"/>
      <c r="X77" s="341" t="str">
        <f>IF(Planejamento2025[[#This Row],[Fonte Pagadora]]="Anna de Moura",(W77*H77*24),"R$ 0,00")</f>
        <v>R$ 0,00</v>
      </c>
      <c r="Y77" s="341"/>
      <c r="Z77" s="335">
        <f>INDEX(Tabela1[Valor RH / Executado],MATCH(Planejamento2025[[#This Row],[ID]],Tabela1[ID],0))</f>
        <v>0</v>
      </c>
      <c r="AA77" s="184">
        <f>INDEX(Tabela1[Valor Insumo / Executado],MATCH(Planejamento2025[[#This Row],[ID]],Tabela1[ID],0))</f>
        <v>0</v>
      </c>
      <c r="AB7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7" s="338" t="s">
        <v>15</v>
      </c>
      <c r="AD77" s="338" t="s">
        <v>15</v>
      </c>
      <c r="AE77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7" s="423"/>
      <c r="AG77" s="347"/>
    </row>
    <row r="78" spans="1:33" s="148" customFormat="1" ht="30" customHeight="1" x14ac:dyDescent="0.25">
      <c r="A7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SorArt_T2</v>
      </c>
      <c r="B78" s="337" t="s">
        <v>212</v>
      </c>
      <c r="C78" s="47" t="s">
        <v>138</v>
      </c>
      <c r="D78" s="47" t="s">
        <v>228</v>
      </c>
      <c r="E78" s="337" t="s">
        <v>213</v>
      </c>
      <c r="F78" s="337" t="s">
        <v>397</v>
      </c>
      <c r="G78" s="337" t="s">
        <v>186</v>
      </c>
      <c r="H78" s="43">
        <v>0.75</v>
      </c>
      <c r="I78" s="43"/>
      <c r="J78" s="43" t="s">
        <v>100</v>
      </c>
      <c r="K78" s="43" t="s">
        <v>100</v>
      </c>
      <c r="L78" s="43"/>
      <c r="M78" s="43"/>
      <c r="N78" s="43" t="str">
        <f t="shared" si="2"/>
        <v>1001111</v>
      </c>
      <c r="O78" s="43">
        <v>0.79166666666666663</v>
      </c>
      <c r="P78" s="43">
        <v>0.91666666666666663</v>
      </c>
      <c r="Q78" s="43">
        <f>Planejamento2025[[#This Row],[Saída]]-Planejamento2025[[#This Row],[Entrada]]</f>
        <v>0.125</v>
      </c>
      <c r="R78" s="130">
        <f>Planejamento2025[[#This Row],[Carga Horária]]/Q78</f>
        <v>6</v>
      </c>
      <c r="S78" s="44">
        <v>45986</v>
      </c>
      <c r="T78" s="44">
        <v>46001</v>
      </c>
      <c r="U78" s="338" t="s">
        <v>198</v>
      </c>
      <c r="V78" s="339">
        <v>16</v>
      </c>
      <c r="W78" s="348">
        <v>47.5</v>
      </c>
      <c r="X78" s="341">
        <f>IF(Planejamento2025[[#This Row],[Fonte Pagadora]]="Anna de Moura",(W78*H78*24),"R$ 0,00")</f>
        <v>855</v>
      </c>
      <c r="Y78" s="349"/>
      <c r="Z78" s="335">
        <f>INDEX(Tabela1[Valor RH / Executado],MATCH(Planejamento2025[[#This Row],[ID]],Tabela1[ID],0))</f>
        <v>0</v>
      </c>
      <c r="AA78" s="184">
        <f>INDEX(Tabela1[Valor Insumo / Executado],MATCH(Planejamento2025[[#This Row],[ID]],Tabela1[ID],0))</f>
        <v>0</v>
      </c>
      <c r="AB7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8" s="338" t="s">
        <v>5</v>
      </c>
      <c r="AD78" s="338" t="s">
        <v>5</v>
      </c>
      <c r="AE78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8" s="423"/>
      <c r="AG78" s="347"/>
    </row>
    <row r="79" spans="1:33" s="328" customFormat="1" ht="30" x14ac:dyDescent="0.25">
      <c r="A7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ManPro_T1</v>
      </c>
      <c r="B79" s="337" t="s">
        <v>256</v>
      </c>
      <c r="C79" s="47" t="s">
        <v>137</v>
      </c>
      <c r="D79" s="47" t="s">
        <v>228</v>
      </c>
      <c r="E79" s="337"/>
      <c r="F79" s="337" t="s">
        <v>397</v>
      </c>
      <c r="G79" s="337" t="s">
        <v>255</v>
      </c>
      <c r="H79" s="43">
        <v>0.83333333333333337</v>
      </c>
      <c r="I79" s="43"/>
      <c r="J79" s="43" t="s">
        <v>100</v>
      </c>
      <c r="K79" s="43" t="s">
        <v>100</v>
      </c>
      <c r="L79" s="43" t="s">
        <v>100</v>
      </c>
      <c r="M79" s="43"/>
      <c r="N79" s="43" t="str">
        <f t="shared" si="2"/>
        <v>1000111</v>
      </c>
      <c r="O79" s="43">
        <v>0.77777777777777779</v>
      </c>
      <c r="P79" s="43">
        <v>0.91666666666666663</v>
      </c>
      <c r="Q79" s="43">
        <f>Planejamento2025[[#This Row],[Saída]]-Planejamento2025[[#This Row],[Entrada]]</f>
        <v>0.13888888888888884</v>
      </c>
      <c r="R79" s="130">
        <f>Planejamento2025[[#This Row],[Carga Horária]]/Q79</f>
        <v>6.0000000000000027</v>
      </c>
      <c r="S79" s="44">
        <v>45993</v>
      </c>
      <c r="T79" s="44">
        <v>46002</v>
      </c>
      <c r="U79" s="338" t="s">
        <v>199</v>
      </c>
      <c r="V79" s="339">
        <v>16</v>
      </c>
      <c r="W79" s="340"/>
      <c r="X79" s="341" t="str">
        <f>IF(Planejamento2025[[#This Row],[Fonte Pagadora]]="Anna de Moura",(W79*H79*24),"R$ 0,00")</f>
        <v>R$ 0,00</v>
      </c>
      <c r="Y79" s="341"/>
      <c r="Z79" s="335">
        <f>INDEX(Tabela1[Valor RH / Executado],MATCH(Planejamento2025[[#This Row],[ID]],Tabela1[ID],0))</f>
        <v>0</v>
      </c>
      <c r="AA79" s="184">
        <f>INDEX(Tabela1[Valor Insumo / Executado],MATCH(Planejamento2025[[#This Row],[ID]],Tabela1[ID],0))</f>
        <v>0</v>
      </c>
      <c r="AB79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9" s="338" t="s">
        <v>15</v>
      </c>
      <c r="AD79" s="338" t="s">
        <v>15</v>
      </c>
      <c r="AE79" s="421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9" s="423"/>
      <c r="AG79" s="395"/>
    </row>
    <row r="80" spans="1:33" ht="18.75" x14ac:dyDescent="0.3">
      <c r="A80" s="208" t="s">
        <v>13</v>
      </c>
      <c r="B80" s="208"/>
      <c r="C80" s="352"/>
      <c r="D80" s="352"/>
      <c r="E80" s="208"/>
      <c r="F80" s="208"/>
      <c r="G80" s="208"/>
      <c r="H80" s="353"/>
      <c r="I80" s="354"/>
      <c r="J80" s="353"/>
      <c r="K80" s="353"/>
      <c r="L80" s="353"/>
      <c r="M80" s="353"/>
      <c r="N80" s="353"/>
      <c r="O80" s="353"/>
      <c r="P80" s="353"/>
      <c r="Q80" s="353"/>
      <c r="R80" s="355"/>
      <c r="S80" s="356"/>
      <c r="T80" s="357"/>
      <c r="U80" s="353"/>
      <c r="V80" s="353">
        <f>SUBTOTAL(109,Planejamento2025[Capac. Máx.])</f>
        <v>1384</v>
      </c>
      <c r="W80" s="358"/>
      <c r="X80" s="359">
        <f>SUBTOTAL(109,Planejamento2025[Valor Previsto])</f>
        <v>110597.5</v>
      </c>
      <c r="Y80" s="359">
        <f>SUBTOTAL(109,Planejamento2025[Contribuição])</f>
        <v>3570</v>
      </c>
      <c r="Z80" s="359" t="e">
        <f>SUBTOTAL(109,Planejamento2025[Valor RH])</f>
        <v>#N/A</v>
      </c>
      <c r="AA80" s="359" t="e">
        <f>SUBTOTAL(109,Planejamento2025[Valor Insumo])</f>
        <v>#N/A</v>
      </c>
      <c r="AB80" s="359">
        <f ca="1">SUBTOTAL(109,Planejamento2025[Status])</f>
        <v>0</v>
      </c>
      <c r="AC80" s="359">
        <f>SUBTOTAL(109,Planejamento2025[Fonte Pagadora])</f>
        <v>0</v>
      </c>
      <c r="AD80" s="359">
        <f>SUBTOTAL(109,Planejamento2025[Certificação])</f>
        <v>0</v>
      </c>
      <c r="AE80" s="419"/>
      <c r="AF80" s="425"/>
      <c r="AG80" s="415"/>
    </row>
    <row r="81" spans="1:30" x14ac:dyDescent="0.25">
      <c r="H81" s="361"/>
      <c r="I81" s="362"/>
      <c r="J81" s="361"/>
      <c r="K81" s="361"/>
      <c r="L81" s="361"/>
      <c r="M81" s="361"/>
      <c r="N81" s="361"/>
      <c r="O81" s="361"/>
      <c r="P81" s="361"/>
      <c r="Q81" s="361"/>
      <c r="R81" s="361"/>
      <c r="S81" s="363"/>
      <c r="T81" s="361"/>
      <c r="U81" s="361"/>
      <c r="V81" s="361"/>
      <c r="W81" s="361"/>
      <c r="X81" s="364"/>
      <c r="Y81" s="365"/>
      <c r="Z81" s="365"/>
      <c r="AA81" s="365"/>
      <c r="AB81" s="365"/>
      <c r="AC81" s="364"/>
      <c r="AD81" s="366"/>
    </row>
    <row r="82" spans="1:30" x14ac:dyDescent="0.25">
      <c r="A82" s="210"/>
      <c r="B82" s="210"/>
      <c r="C82" s="367"/>
      <c r="D82" s="367"/>
      <c r="E82" s="210"/>
      <c r="F82" s="210"/>
      <c r="G82" s="210"/>
      <c r="H82" s="210"/>
      <c r="I82" s="362"/>
      <c r="J82" s="361"/>
      <c r="K82" s="361"/>
      <c r="L82" s="361"/>
      <c r="M82" s="361"/>
      <c r="N82" s="361"/>
      <c r="O82" s="361"/>
      <c r="P82" s="361"/>
      <c r="Q82" s="361"/>
      <c r="R82" s="361"/>
      <c r="S82" s="363"/>
      <c r="T82" s="361"/>
      <c r="U82" s="361"/>
      <c r="V82" s="361"/>
      <c r="W82" s="361"/>
      <c r="X82" s="364"/>
      <c r="Y82" s="368"/>
      <c r="Z82" s="368"/>
      <c r="AA82" s="368"/>
      <c r="AB82" s="368"/>
      <c r="AC82" s="364"/>
      <c r="AD82" s="366"/>
    </row>
    <row r="83" spans="1:30" x14ac:dyDescent="0.25">
      <c r="A83" s="210"/>
    </row>
    <row r="84" spans="1:30" x14ac:dyDescent="0.25">
      <c r="A84" s="210"/>
    </row>
    <row r="85" spans="1:30" x14ac:dyDescent="0.25">
      <c r="A85" s="210"/>
    </row>
    <row r="86" spans="1:30" x14ac:dyDescent="0.25">
      <c r="A86" s="210"/>
    </row>
    <row r="92" spans="1:30" x14ac:dyDescent="0.25">
      <c r="A92" s="210"/>
    </row>
  </sheetData>
  <phoneticPr fontId="23" type="noConversion"/>
  <conditionalFormatting sqref="AB1:AB79 AB81:AB86 AB92:AB1048576">
    <cfRule type="cellIs" dxfId="160" priority="1" operator="equal">
      <formula>"Cancelado"</formula>
    </cfRule>
    <cfRule type="cellIs" dxfId="159" priority="2" operator="equal">
      <formula>"Aguardando"</formula>
    </cfRule>
    <cfRule type="cellIs" dxfId="158" priority="3" operator="equal">
      <formula>"Finalizado"</formula>
    </cfRule>
    <cfRule type="cellIs" dxfId="157" priority="4" operator="equal">
      <formula>"Em andamento"</formula>
    </cfRule>
  </conditionalFormatting>
  <printOptions horizontalCentered="1"/>
  <pageMargins left="0.15748031496062992" right="0.11811023622047245" top="0.56000000000000005" bottom="0.12" header="0.15748031496062992" footer="0.11811023622047245"/>
  <pageSetup paperSize="9" scale="95" fitToHeight="0" orientation="landscape" r:id="rId1"/>
  <headerFooter scaleWithDoc="0" alignWithMargins="0">
    <oddHeader>&amp;C&amp;"-,Negrito"Instituto Anna de Moura - Fundação
CNPJ 44.297.075/0001-51</oddHeader>
  </headerFooter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E0CA85-3D1C-4A94-B7B0-4C8941DE3F57}">
          <x14:formula1>
            <xm:f>Salas!$A$1:$A$23</xm:f>
          </x14:formula1>
          <xm:sqref>AF2:AF79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8684F-E067-4073-9E6D-397134682082}">
  <sheetPr codeName="Planilha8"/>
  <dimension ref="A1:F23"/>
  <sheetViews>
    <sheetView workbookViewId="0">
      <selection activeCell="B2" sqref="B2"/>
    </sheetView>
  </sheetViews>
  <sheetFormatPr defaultRowHeight="15" x14ac:dyDescent="0.25"/>
  <cols>
    <col min="1" max="1" width="29.5703125" customWidth="1"/>
    <col min="3" max="3" width="10.140625" customWidth="1"/>
    <col min="4" max="4" width="12.42578125" customWidth="1"/>
    <col min="5" max="5" width="10.85546875" customWidth="1"/>
  </cols>
  <sheetData>
    <row r="1" spans="1:6" ht="15.75" thickBot="1" x14ac:dyDescent="0.3">
      <c r="A1" s="412" t="s">
        <v>415</v>
      </c>
      <c r="B1" s="413" t="s">
        <v>2</v>
      </c>
      <c r="C1" s="413" t="s">
        <v>227</v>
      </c>
      <c r="D1" s="413" t="s">
        <v>438</v>
      </c>
      <c r="E1" s="413" t="s">
        <v>439</v>
      </c>
      <c r="F1" s="414" t="s">
        <v>262</v>
      </c>
    </row>
    <row r="2" spans="1:6" x14ac:dyDescent="0.25">
      <c r="A2" s="411" t="s">
        <v>416</v>
      </c>
    </row>
    <row r="3" spans="1:6" x14ac:dyDescent="0.25">
      <c r="A3" s="45" t="s">
        <v>417</v>
      </c>
    </row>
    <row r="4" spans="1:6" x14ac:dyDescent="0.25">
      <c r="A4" s="45" t="s">
        <v>418</v>
      </c>
    </row>
    <row r="5" spans="1:6" x14ac:dyDescent="0.25">
      <c r="A5" s="45" t="s">
        <v>419</v>
      </c>
    </row>
    <row r="6" spans="1:6" x14ac:dyDescent="0.25">
      <c r="A6" s="45" t="s">
        <v>420</v>
      </c>
    </row>
    <row r="7" spans="1:6" x14ac:dyDescent="0.25">
      <c r="A7" s="45" t="s">
        <v>421</v>
      </c>
    </row>
    <row r="8" spans="1:6" x14ac:dyDescent="0.25">
      <c r="A8" s="45" t="s">
        <v>422</v>
      </c>
    </row>
    <row r="9" spans="1:6" x14ac:dyDescent="0.25">
      <c r="A9" s="45" t="s">
        <v>423</v>
      </c>
    </row>
    <row r="10" spans="1:6" x14ac:dyDescent="0.25">
      <c r="A10" s="45" t="s">
        <v>424</v>
      </c>
    </row>
    <row r="11" spans="1:6" x14ac:dyDescent="0.25">
      <c r="A11" s="45" t="s">
        <v>425</v>
      </c>
    </row>
    <row r="12" spans="1:6" x14ac:dyDescent="0.25">
      <c r="A12" s="45" t="s">
        <v>426</v>
      </c>
    </row>
    <row r="13" spans="1:6" x14ac:dyDescent="0.25">
      <c r="A13" s="45" t="s">
        <v>427</v>
      </c>
    </row>
    <row r="14" spans="1:6" x14ac:dyDescent="0.25">
      <c r="A14" s="45" t="s">
        <v>428</v>
      </c>
    </row>
    <row r="15" spans="1:6" x14ac:dyDescent="0.25">
      <c r="A15" s="45" t="s">
        <v>429</v>
      </c>
    </row>
    <row r="16" spans="1:6" x14ac:dyDescent="0.25">
      <c r="A16" s="45" t="s">
        <v>430</v>
      </c>
    </row>
    <row r="17" spans="1:1" x14ac:dyDescent="0.25">
      <c r="A17" s="45" t="s">
        <v>431</v>
      </c>
    </row>
    <row r="18" spans="1:1" x14ac:dyDescent="0.25">
      <c r="A18" s="45" t="s">
        <v>432</v>
      </c>
    </row>
    <row r="19" spans="1:1" x14ac:dyDescent="0.25">
      <c r="A19" s="45" t="s">
        <v>433</v>
      </c>
    </row>
    <row r="20" spans="1:1" x14ac:dyDescent="0.25">
      <c r="A20" s="45" t="s">
        <v>434</v>
      </c>
    </row>
    <row r="21" spans="1:1" x14ac:dyDescent="0.25">
      <c r="A21" s="45" t="s">
        <v>435</v>
      </c>
    </row>
    <row r="22" spans="1:1" x14ac:dyDescent="0.25">
      <c r="A22" s="45" t="s">
        <v>436</v>
      </c>
    </row>
    <row r="23" spans="1:1" x14ac:dyDescent="0.25">
      <c r="A23" s="45" t="s">
        <v>437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C3199-6F6D-4A4D-9DF1-E14C02909C4B}">
  <sheetPr codeName="Planilha9"/>
  <dimension ref="A1:QO24"/>
  <sheetViews>
    <sheetView workbookViewId="0">
      <pane xSplit="1" ySplit="2" topLeftCell="AG3" activePane="bottomRight" state="frozen"/>
      <selection pane="topRight" activeCell="B1" sqref="B1"/>
      <selection pane="bottomLeft" activeCell="A3" sqref="A3"/>
      <selection pane="bottomRight" activeCell="AG28" sqref="AG28"/>
    </sheetView>
  </sheetViews>
  <sheetFormatPr defaultRowHeight="15" x14ac:dyDescent="0.25"/>
  <cols>
    <col min="1" max="1" width="22.42578125" style="49" customWidth="1"/>
    <col min="2" max="457" width="15.7109375" style="48" customWidth="1"/>
  </cols>
  <sheetData>
    <row r="1" spans="1:457" s="148" customFormat="1" x14ac:dyDescent="0.25">
      <c r="A1" s="426" t="s">
        <v>441</v>
      </c>
      <c r="B1" s="437" t="s">
        <v>229</v>
      </c>
      <c r="C1" s="438" t="s">
        <v>230</v>
      </c>
      <c r="D1" s="438" t="s">
        <v>228</v>
      </c>
      <c r="E1" s="437" t="s">
        <v>229</v>
      </c>
      <c r="F1" s="438" t="s">
        <v>230</v>
      </c>
      <c r="G1" s="438" t="s">
        <v>228</v>
      </c>
      <c r="H1" s="437" t="s">
        <v>229</v>
      </c>
      <c r="I1" s="438" t="s">
        <v>230</v>
      </c>
      <c r="J1" s="438" t="s">
        <v>228</v>
      </c>
      <c r="K1" s="437" t="s">
        <v>229</v>
      </c>
      <c r="L1" s="438" t="s">
        <v>230</v>
      </c>
      <c r="M1" s="438" t="s">
        <v>228</v>
      </c>
      <c r="N1" s="437" t="s">
        <v>229</v>
      </c>
      <c r="O1" s="438" t="s">
        <v>230</v>
      </c>
      <c r="P1" s="438" t="s">
        <v>228</v>
      </c>
      <c r="Q1" s="437" t="s">
        <v>229</v>
      </c>
      <c r="R1" s="438" t="s">
        <v>230</v>
      </c>
      <c r="S1" s="438" t="s">
        <v>228</v>
      </c>
      <c r="T1" s="437" t="s">
        <v>229</v>
      </c>
      <c r="U1" s="438" t="s">
        <v>230</v>
      </c>
      <c r="V1" s="438" t="s">
        <v>228</v>
      </c>
      <c r="W1" s="437" t="s">
        <v>229</v>
      </c>
      <c r="X1" s="438" t="s">
        <v>230</v>
      </c>
      <c r="Y1" s="438" t="s">
        <v>228</v>
      </c>
      <c r="Z1" s="437" t="s">
        <v>229</v>
      </c>
      <c r="AA1" s="438" t="s">
        <v>230</v>
      </c>
      <c r="AB1" s="438" t="s">
        <v>228</v>
      </c>
      <c r="AC1" s="437" t="s">
        <v>229</v>
      </c>
      <c r="AD1" s="438" t="s">
        <v>230</v>
      </c>
      <c r="AE1" s="438" t="s">
        <v>228</v>
      </c>
      <c r="AF1" s="437" t="s">
        <v>229</v>
      </c>
      <c r="AG1" s="438" t="s">
        <v>230</v>
      </c>
      <c r="AH1" s="438" t="s">
        <v>228</v>
      </c>
      <c r="AI1" s="437" t="s">
        <v>229</v>
      </c>
      <c r="AJ1" s="438" t="s">
        <v>230</v>
      </c>
      <c r="AK1" s="438" t="s">
        <v>228</v>
      </c>
      <c r="AL1" s="437" t="s">
        <v>229</v>
      </c>
      <c r="AM1" s="438" t="s">
        <v>230</v>
      </c>
      <c r="AN1" s="438" t="s">
        <v>228</v>
      </c>
      <c r="AO1" s="437" t="s">
        <v>229</v>
      </c>
      <c r="AP1" s="438" t="s">
        <v>230</v>
      </c>
      <c r="AQ1" s="438" t="s">
        <v>228</v>
      </c>
      <c r="AR1" s="437" t="s">
        <v>229</v>
      </c>
      <c r="AS1" s="438" t="s">
        <v>230</v>
      </c>
      <c r="AT1" s="438" t="s">
        <v>228</v>
      </c>
      <c r="AU1" s="437" t="s">
        <v>229</v>
      </c>
      <c r="AV1" s="438" t="s">
        <v>230</v>
      </c>
      <c r="AW1" s="438" t="s">
        <v>228</v>
      </c>
      <c r="AX1" s="437" t="s">
        <v>229</v>
      </c>
      <c r="AY1" s="438" t="s">
        <v>230</v>
      </c>
      <c r="AZ1" s="438" t="s">
        <v>228</v>
      </c>
      <c r="BA1" s="437" t="s">
        <v>229</v>
      </c>
      <c r="BB1" s="438" t="s">
        <v>230</v>
      </c>
      <c r="BC1" s="438" t="s">
        <v>228</v>
      </c>
      <c r="BD1" s="437" t="s">
        <v>229</v>
      </c>
      <c r="BE1" s="438" t="s">
        <v>230</v>
      </c>
      <c r="BF1" s="438" t="s">
        <v>228</v>
      </c>
      <c r="BG1" s="437" t="s">
        <v>229</v>
      </c>
      <c r="BH1" s="438" t="s">
        <v>230</v>
      </c>
      <c r="BI1" s="438" t="s">
        <v>228</v>
      </c>
      <c r="BJ1" s="437" t="s">
        <v>229</v>
      </c>
      <c r="BK1" s="438" t="s">
        <v>230</v>
      </c>
      <c r="BL1" s="438" t="s">
        <v>228</v>
      </c>
      <c r="BM1" s="437" t="s">
        <v>229</v>
      </c>
      <c r="BN1" s="438" t="s">
        <v>230</v>
      </c>
      <c r="BO1" s="438" t="s">
        <v>228</v>
      </c>
      <c r="BP1" s="437" t="s">
        <v>229</v>
      </c>
      <c r="BQ1" s="438" t="s">
        <v>230</v>
      </c>
      <c r="BR1" s="438" t="s">
        <v>228</v>
      </c>
      <c r="BS1" s="437" t="s">
        <v>229</v>
      </c>
      <c r="BT1" s="438" t="s">
        <v>230</v>
      </c>
      <c r="BU1" s="438" t="s">
        <v>228</v>
      </c>
      <c r="BV1" s="437" t="s">
        <v>229</v>
      </c>
      <c r="BW1" s="438" t="s">
        <v>230</v>
      </c>
      <c r="BX1" s="438" t="s">
        <v>228</v>
      </c>
      <c r="BY1" s="437" t="s">
        <v>229</v>
      </c>
      <c r="BZ1" s="438" t="s">
        <v>230</v>
      </c>
      <c r="CA1" s="438" t="s">
        <v>228</v>
      </c>
      <c r="CB1" s="437" t="s">
        <v>229</v>
      </c>
      <c r="CC1" s="438" t="s">
        <v>230</v>
      </c>
      <c r="CD1" s="438" t="s">
        <v>228</v>
      </c>
      <c r="CE1" s="437" t="s">
        <v>229</v>
      </c>
      <c r="CF1" s="438" t="s">
        <v>230</v>
      </c>
      <c r="CG1" s="438" t="s">
        <v>228</v>
      </c>
      <c r="CH1" s="437" t="s">
        <v>229</v>
      </c>
      <c r="CI1" s="438" t="s">
        <v>230</v>
      </c>
      <c r="CJ1" s="438" t="s">
        <v>228</v>
      </c>
      <c r="CK1" s="437" t="s">
        <v>229</v>
      </c>
      <c r="CL1" s="438" t="s">
        <v>230</v>
      </c>
      <c r="CM1" s="438" t="s">
        <v>228</v>
      </c>
      <c r="CN1" s="437" t="s">
        <v>229</v>
      </c>
      <c r="CO1" s="438" t="s">
        <v>230</v>
      </c>
      <c r="CP1" s="438" t="s">
        <v>228</v>
      </c>
      <c r="CQ1" s="437" t="s">
        <v>229</v>
      </c>
      <c r="CR1" s="438" t="s">
        <v>230</v>
      </c>
      <c r="CS1" s="438" t="s">
        <v>228</v>
      </c>
      <c r="CT1" s="437" t="s">
        <v>229</v>
      </c>
      <c r="CU1" s="438" t="s">
        <v>230</v>
      </c>
      <c r="CV1" s="438" t="s">
        <v>228</v>
      </c>
      <c r="CW1" s="437" t="s">
        <v>229</v>
      </c>
      <c r="CX1" s="438" t="s">
        <v>230</v>
      </c>
      <c r="CY1" s="438" t="s">
        <v>228</v>
      </c>
      <c r="CZ1" s="437" t="s">
        <v>229</v>
      </c>
      <c r="DA1" s="438" t="s">
        <v>230</v>
      </c>
      <c r="DB1" s="438" t="s">
        <v>228</v>
      </c>
      <c r="DC1" s="437" t="s">
        <v>229</v>
      </c>
      <c r="DD1" s="438" t="s">
        <v>230</v>
      </c>
      <c r="DE1" s="438" t="s">
        <v>228</v>
      </c>
      <c r="DF1" s="437" t="s">
        <v>229</v>
      </c>
      <c r="DG1" s="438" t="s">
        <v>230</v>
      </c>
      <c r="DH1" s="438" t="s">
        <v>228</v>
      </c>
      <c r="DI1" s="437" t="s">
        <v>229</v>
      </c>
      <c r="DJ1" s="438" t="s">
        <v>230</v>
      </c>
      <c r="DK1" s="438" t="s">
        <v>228</v>
      </c>
      <c r="DL1" s="437" t="s">
        <v>229</v>
      </c>
      <c r="DM1" s="438" t="s">
        <v>230</v>
      </c>
      <c r="DN1" s="438" t="s">
        <v>228</v>
      </c>
      <c r="DO1" s="437" t="s">
        <v>229</v>
      </c>
      <c r="DP1" s="438" t="s">
        <v>230</v>
      </c>
      <c r="DQ1" s="438" t="s">
        <v>228</v>
      </c>
      <c r="DR1" s="437" t="s">
        <v>229</v>
      </c>
      <c r="DS1" s="438" t="s">
        <v>230</v>
      </c>
      <c r="DT1" s="438" t="s">
        <v>228</v>
      </c>
      <c r="DU1" s="437" t="s">
        <v>229</v>
      </c>
      <c r="DV1" s="438" t="s">
        <v>230</v>
      </c>
      <c r="DW1" s="438" t="s">
        <v>228</v>
      </c>
      <c r="DX1" s="437" t="s">
        <v>229</v>
      </c>
      <c r="DY1" s="438" t="s">
        <v>230</v>
      </c>
      <c r="DZ1" s="438" t="s">
        <v>228</v>
      </c>
      <c r="EA1" s="437" t="s">
        <v>229</v>
      </c>
      <c r="EB1" s="438" t="s">
        <v>230</v>
      </c>
      <c r="EC1" s="438" t="s">
        <v>228</v>
      </c>
      <c r="ED1" s="437" t="s">
        <v>229</v>
      </c>
      <c r="EE1" s="438" t="s">
        <v>230</v>
      </c>
      <c r="EF1" s="438" t="s">
        <v>228</v>
      </c>
      <c r="EG1" s="437" t="s">
        <v>229</v>
      </c>
      <c r="EH1" s="438" t="s">
        <v>230</v>
      </c>
      <c r="EI1" s="438" t="s">
        <v>228</v>
      </c>
      <c r="EJ1" s="437" t="s">
        <v>229</v>
      </c>
      <c r="EK1" s="438" t="s">
        <v>230</v>
      </c>
      <c r="EL1" s="438" t="s">
        <v>228</v>
      </c>
      <c r="EM1" s="437" t="s">
        <v>229</v>
      </c>
      <c r="EN1" s="438" t="s">
        <v>230</v>
      </c>
      <c r="EO1" s="438" t="s">
        <v>228</v>
      </c>
      <c r="EP1" s="437" t="s">
        <v>229</v>
      </c>
      <c r="EQ1" s="438" t="s">
        <v>230</v>
      </c>
      <c r="ER1" s="438" t="s">
        <v>228</v>
      </c>
      <c r="ES1" s="437" t="s">
        <v>229</v>
      </c>
      <c r="ET1" s="438" t="s">
        <v>230</v>
      </c>
      <c r="EU1" s="438" t="s">
        <v>228</v>
      </c>
      <c r="EV1" s="437" t="s">
        <v>229</v>
      </c>
      <c r="EW1" s="438" t="s">
        <v>230</v>
      </c>
      <c r="EX1" s="438" t="s">
        <v>228</v>
      </c>
      <c r="EY1" s="437" t="s">
        <v>229</v>
      </c>
      <c r="EZ1" s="438" t="s">
        <v>230</v>
      </c>
      <c r="FA1" s="438" t="s">
        <v>228</v>
      </c>
      <c r="FB1" s="437" t="s">
        <v>229</v>
      </c>
      <c r="FC1" s="438" t="s">
        <v>230</v>
      </c>
      <c r="FD1" s="438" t="s">
        <v>228</v>
      </c>
      <c r="FE1" s="437" t="s">
        <v>229</v>
      </c>
      <c r="FF1" s="438" t="s">
        <v>230</v>
      </c>
      <c r="FG1" s="438" t="s">
        <v>228</v>
      </c>
      <c r="FH1" s="437" t="s">
        <v>229</v>
      </c>
      <c r="FI1" s="438" t="s">
        <v>230</v>
      </c>
      <c r="FJ1" s="438" t="s">
        <v>228</v>
      </c>
      <c r="FK1" s="437" t="s">
        <v>229</v>
      </c>
      <c r="FL1" s="438" t="s">
        <v>230</v>
      </c>
      <c r="FM1" s="438" t="s">
        <v>228</v>
      </c>
      <c r="FN1" s="437" t="s">
        <v>229</v>
      </c>
      <c r="FO1" s="438" t="s">
        <v>230</v>
      </c>
      <c r="FP1" s="438" t="s">
        <v>228</v>
      </c>
      <c r="FQ1" s="437" t="s">
        <v>229</v>
      </c>
      <c r="FR1" s="438" t="s">
        <v>230</v>
      </c>
      <c r="FS1" s="438" t="s">
        <v>228</v>
      </c>
      <c r="FT1" s="437" t="s">
        <v>229</v>
      </c>
      <c r="FU1" s="438" t="s">
        <v>230</v>
      </c>
      <c r="FV1" s="438" t="s">
        <v>228</v>
      </c>
      <c r="FW1" s="437" t="s">
        <v>229</v>
      </c>
      <c r="FX1" s="438" t="s">
        <v>230</v>
      </c>
      <c r="FY1" s="438" t="s">
        <v>228</v>
      </c>
      <c r="FZ1" s="437" t="s">
        <v>229</v>
      </c>
      <c r="GA1" s="438" t="s">
        <v>230</v>
      </c>
      <c r="GB1" s="438" t="s">
        <v>228</v>
      </c>
      <c r="GC1" s="437" t="s">
        <v>229</v>
      </c>
      <c r="GD1" s="438" t="s">
        <v>230</v>
      </c>
      <c r="GE1" s="438" t="s">
        <v>228</v>
      </c>
      <c r="GF1" s="437" t="s">
        <v>229</v>
      </c>
      <c r="GG1" s="438" t="s">
        <v>230</v>
      </c>
      <c r="GH1" s="438" t="s">
        <v>228</v>
      </c>
      <c r="GI1" s="437" t="s">
        <v>229</v>
      </c>
      <c r="GJ1" s="438" t="s">
        <v>230</v>
      </c>
      <c r="GK1" s="438" t="s">
        <v>228</v>
      </c>
      <c r="GL1" s="437" t="s">
        <v>229</v>
      </c>
      <c r="GM1" s="438" t="s">
        <v>230</v>
      </c>
      <c r="GN1" s="438" t="s">
        <v>228</v>
      </c>
      <c r="GO1" s="437" t="s">
        <v>229</v>
      </c>
      <c r="GP1" s="438" t="s">
        <v>230</v>
      </c>
      <c r="GQ1" s="438" t="s">
        <v>228</v>
      </c>
      <c r="GR1" s="437" t="s">
        <v>229</v>
      </c>
      <c r="GS1" s="438" t="s">
        <v>230</v>
      </c>
      <c r="GT1" s="438" t="s">
        <v>228</v>
      </c>
      <c r="GU1" s="437" t="s">
        <v>229</v>
      </c>
      <c r="GV1" s="438" t="s">
        <v>230</v>
      </c>
      <c r="GW1" s="438" t="s">
        <v>228</v>
      </c>
      <c r="GX1" s="437" t="s">
        <v>229</v>
      </c>
      <c r="GY1" s="438" t="s">
        <v>230</v>
      </c>
      <c r="GZ1" s="438" t="s">
        <v>228</v>
      </c>
      <c r="HA1" s="437" t="s">
        <v>229</v>
      </c>
      <c r="HB1" s="438" t="s">
        <v>230</v>
      </c>
      <c r="HC1" s="438" t="s">
        <v>228</v>
      </c>
      <c r="HD1" s="437" t="s">
        <v>229</v>
      </c>
      <c r="HE1" s="438" t="s">
        <v>230</v>
      </c>
      <c r="HF1" s="438" t="s">
        <v>228</v>
      </c>
      <c r="HG1" s="437" t="s">
        <v>229</v>
      </c>
      <c r="HH1" s="438" t="s">
        <v>230</v>
      </c>
      <c r="HI1" s="438" t="s">
        <v>228</v>
      </c>
      <c r="HJ1" s="437" t="s">
        <v>229</v>
      </c>
      <c r="HK1" s="438" t="s">
        <v>230</v>
      </c>
      <c r="HL1" s="438" t="s">
        <v>228</v>
      </c>
      <c r="HM1" s="437" t="s">
        <v>229</v>
      </c>
      <c r="HN1" s="438" t="s">
        <v>230</v>
      </c>
      <c r="HO1" s="438" t="s">
        <v>228</v>
      </c>
      <c r="HP1" s="437" t="s">
        <v>229</v>
      </c>
      <c r="HQ1" s="438" t="s">
        <v>230</v>
      </c>
      <c r="HR1" s="438" t="s">
        <v>228</v>
      </c>
      <c r="HS1" s="437" t="s">
        <v>229</v>
      </c>
      <c r="HT1" s="438" t="s">
        <v>230</v>
      </c>
      <c r="HU1" s="438" t="s">
        <v>228</v>
      </c>
      <c r="HV1" s="437" t="s">
        <v>229</v>
      </c>
      <c r="HW1" s="438" t="s">
        <v>230</v>
      </c>
      <c r="HX1" s="438" t="s">
        <v>228</v>
      </c>
      <c r="HY1" s="437" t="s">
        <v>229</v>
      </c>
      <c r="HZ1" s="438" t="s">
        <v>230</v>
      </c>
      <c r="IA1" s="438" t="s">
        <v>228</v>
      </c>
      <c r="IB1" s="437" t="s">
        <v>229</v>
      </c>
      <c r="IC1" s="438" t="s">
        <v>230</v>
      </c>
      <c r="ID1" s="438" t="s">
        <v>228</v>
      </c>
      <c r="IE1" s="437" t="s">
        <v>229</v>
      </c>
      <c r="IF1" s="438" t="s">
        <v>230</v>
      </c>
      <c r="IG1" s="438" t="s">
        <v>228</v>
      </c>
      <c r="IH1" s="437" t="s">
        <v>229</v>
      </c>
      <c r="II1" s="438" t="s">
        <v>230</v>
      </c>
      <c r="IJ1" s="438" t="s">
        <v>228</v>
      </c>
      <c r="IK1" s="437" t="s">
        <v>229</v>
      </c>
      <c r="IL1" s="438" t="s">
        <v>230</v>
      </c>
      <c r="IM1" s="438" t="s">
        <v>228</v>
      </c>
      <c r="IN1" s="437" t="s">
        <v>229</v>
      </c>
      <c r="IO1" s="438" t="s">
        <v>230</v>
      </c>
      <c r="IP1" s="438" t="s">
        <v>228</v>
      </c>
      <c r="IQ1" s="437" t="s">
        <v>229</v>
      </c>
      <c r="IR1" s="438" t="s">
        <v>230</v>
      </c>
      <c r="IS1" s="438" t="s">
        <v>228</v>
      </c>
      <c r="IT1" s="437" t="s">
        <v>229</v>
      </c>
      <c r="IU1" s="438" t="s">
        <v>230</v>
      </c>
      <c r="IV1" s="438" t="s">
        <v>228</v>
      </c>
      <c r="IW1" s="437" t="s">
        <v>229</v>
      </c>
      <c r="IX1" s="438" t="s">
        <v>230</v>
      </c>
      <c r="IY1" s="438" t="s">
        <v>228</v>
      </c>
      <c r="IZ1" s="437" t="s">
        <v>229</v>
      </c>
      <c r="JA1" s="438" t="s">
        <v>230</v>
      </c>
      <c r="JB1" s="438" t="s">
        <v>228</v>
      </c>
      <c r="JC1" s="437" t="s">
        <v>229</v>
      </c>
      <c r="JD1" s="438" t="s">
        <v>230</v>
      </c>
      <c r="JE1" s="438" t="s">
        <v>228</v>
      </c>
      <c r="JF1" s="437" t="s">
        <v>229</v>
      </c>
      <c r="JG1" s="438" t="s">
        <v>230</v>
      </c>
      <c r="JH1" s="438" t="s">
        <v>228</v>
      </c>
      <c r="JI1" s="437" t="s">
        <v>229</v>
      </c>
      <c r="JJ1" s="438" t="s">
        <v>230</v>
      </c>
      <c r="JK1" s="438" t="s">
        <v>228</v>
      </c>
      <c r="JL1" s="437" t="s">
        <v>229</v>
      </c>
      <c r="JM1" s="438" t="s">
        <v>230</v>
      </c>
      <c r="JN1" s="438" t="s">
        <v>228</v>
      </c>
      <c r="JO1" s="437" t="s">
        <v>229</v>
      </c>
      <c r="JP1" s="438" t="s">
        <v>230</v>
      </c>
      <c r="JQ1" s="438" t="s">
        <v>228</v>
      </c>
      <c r="JR1" s="437" t="s">
        <v>229</v>
      </c>
      <c r="JS1" s="438" t="s">
        <v>230</v>
      </c>
      <c r="JT1" s="438" t="s">
        <v>228</v>
      </c>
      <c r="JU1" s="437" t="s">
        <v>229</v>
      </c>
      <c r="JV1" s="438" t="s">
        <v>230</v>
      </c>
      <c r="JW1" s="438" t="s">
        <v>228</v>
      </c>
      <c r="JX1" s="437" t="s">
        <v>229</v>
      </c>
      <c r="JY1" s="438" t="s">
        <v>230</v>
      </c>
      <c r="JZ1" s="438" t="s">
        <v>228</v>
      </c>
      <c r="KA1" s="437" t="s">
        <v>229</v>
      </c>
      <c r="KB1" s="438" t="s">
        <v>230</v>
      </c>
      <c r="KC1" s="438" t="s">
        <v>228</v>
      </c>
      <c r="KD1" s="437" t="s">
        <v>229</v>
      </c>
      <c r="KE1" s="438" t="s">
        <v>230</v>
      </c>
      <c r="KF1" s="438" t="s">
        <v>228</v>
      </c>
      <c r="KG1" s="437" t="s">
        <v>229</v>
      </c>
      <c r="KH1" s="438" t="s">
        <v>230</v>
      </c>
      <c r="KI1" s="438" t="s">
        <v>228</v>
      </c>
      <c r="KJ1" s="437" t="s">
        <v>229</v>
      </c>
      <c r="KK1" s="438" t="s">
        <v>230</v>
      </c>
      <c r="KL1" s="438" t="s">
        <v>228</v>
      </c>
      <c r="KM1" s="437" t="s">
        <v>229</v>
      </c>
      <c r="KN1" s="438" t="s">
        <v>230</v>
      </c>
      <c r="KO1" s="438" t="s">
        <v>228</v>
      </c>
      <c r="KP1" s="437" t="s">
        <v>229</v>
      </c>
      <c r="KQ1" s="438" t="s">
        <v>230</v>
      </c>
      <c r="KR1" s="438" t="s">
        <v>228</v>
      </c>
      <c r="KS1" s="437" t="s">
        <v>229</v>
      </c>
      <c r="KT1" s="438" t="s">
        <v>230</v>
      </c>
      <c r="KU1" s="438" t="s">
        <v>228</v>
      </c>
      <c r="KV1" s="437" t="s">
        <v>229</v>
      </c>
      <c r="KW1" s="438" t="s">
        <v>230</v>
      </c>
      <c r="KX1" s="438" t="s">
        <v>228</v>
      </c>
      <c r="KY1" s="437" t="s">
        <v>229</v>
      </c>
      <c r="KZ1" s="438" t="s">
        <v>230</v>
      </c>
      <c r="LA1" s="438" t="s">
        <v>228</v>
      </c>
      <c r="LB1" s="437" t="s">
        <v>229</v>
      </c>
      <c r="LC1" s="438" t="s">
        <v>230</v>
      </c>
      <c r="LD1" s="438" t="s">
        <v>228</v>
      </c>
      <c r="LE1" s="437" t="s">
        <v>229</v>
      </c>
      <c r="LF1" s="438" t="s">
        <v>230</v>
      </c>
      <c r="LG1" s="438" t="s">
        <v>228</v>
      </c>
      <c r="LH1" s="437" t="s">
        <v>229</v>
      </c>
      <c r="LI1" s="438" t="s">
        <v>230</v>
      </c>
      <c r="LJ1" s="438" t="s">
        <v>228</v>
      </c>
      <c r="LK1" s="437" t="s">
        <v>229</v>
      </c>
      <c r="LL1" s="438" t="s">
        <v>230</v>
      </c>
      <c r="LM1" s="438" t="s">
        <v>228</v>
      </c>
      <c r="LN1" s="437" t="s">
        <v>229</v>
      </c>
      <c r="LO1" s="438" t="s">
        <v>230</v>
      </c>
      <c r="LP1" s="438" t="s">
        <v>228</v>
      </c>
      <c r="LQ1" s="437" t="s">
        <v>229</v>
      </c>
      <c r="LR1" s="438" t="s">
        <v>230</v>
      </c>
      <c r="LS1" s="438" t="s">
        <v>228</v>
      </c>
      <c r="LT1" s="437" t="s">
        <v>229</v>
      </c>
      <c r="LU1" s="438" t="s">
        <v>230</v>
      </c>
      <c r="LV1" s="438" t="s">
        <v>228</v>
      </c>
      <c r="LW1" s="437" t="s">
        <v>229</v>
      </c>
      <c r="LX1" s="438" t="s">
        <v>230</v>
      </c>
      <c r="LY1" s="438" t="s">
        <v>228</v>
      </c>
      <c r="LZ1" s="437" t="s">
        <v>229</v>
      </c>
      <c r="MA1" s="438" t="s">
        <v>230</v>
      </c>
      <c r="MB1" s="438" t="s">
        <v>228</v>
      </c>
      <c r="MC1" s="437" t="s">
        <v>229</v>
      </c>
      <c r="MD1" s="438" t="s">
        <v>230</v>
      </c>
      <c r="ME1" s="438" t="s">
        <v>228</v>
      </c>
      <c r="MF1" s="437" t="s">
        <v>229</v>
      </c>
      <c r="MG1" s="438" t="s">
        <v>230</v>
      </c>
      <c r="MH1" s="438" t="s">
        <v>228</v>
      </c>
      <c r="MI1" s="437" t="s">
        <v>229</v>
      </c>
      <c r="MJ1" s="438" t="s">
        <v>230</v>
      </c>
      <c r="MK1" s="438" t="s">
        <v>228</v>
      </c>
      <c r="ML1" s="437" t="s">
        <v>229</v>
      </c>
      <c r="MM1" s="438" t="s">
        <v>230</v>
      </c>
      <c r="MN1" s="438" t="s">
        <v>228</v>
      </c>
      <c r="MO1" s="437" t="s">
        <v>229</v>
      </c>
      <c r="MP1" s="438" t="s">
        <v>230</v>
      </c>
      <c r="MQ1" s="438" t="s">
        <v>228</v>
      </c>
      <c r="MR1" s="437" t="s">
        <v>229</v>
      </c>
      <c r="MS1" s="438" t="s">
        <v>230</v>
      </c>
      <c r="MT1" s="438" t="s">
        <v>228</v>
      </c>
      <c r="MU1" s="437" t="s">
        <v>229</v>
      </c>
      <c r="MV1" s="438" t="s">
        <v>230</v>
      </c>
      <c r="MW1" s="438" t="s">
        <v>228</v>
      </c>
      <c r="MX1" s="437" t="s">
        <v>229</v>
      </c>
      <c r="MY1" s="438" t="s">
        <v>230</v>
      </c>
      <c r="MZ1" s="438" t="s">
        <v>228</v>
      </c>
      <c r="NA1" s="437" t="s">
        <v>229</v>
      </c>
      <c r="NB1" s="438" t="s">
        <v>230</v>
      </c>
      <c r="NC1" s="438" t="s">
        <v>228</v>
      </c>
      <c r="ND1" s="437" t="s">
        <v>229</v>
      </c>
      <c r="NE1" s="438" t="s">
        <v>230</v>
      </c>
      <c r="NF1" s="438" t="s">
        <v>228</v>
      </c>
      <c r="NG1" s="437" t="s">
        <v>229</v>
      </c>
      <c r="NH1" s="438" t="s">
        <v>230</v>
      </c>
      <c r="NI1" s="438" t="s">
        <v>228</v>
      </c>
      <c r="NJ1" s="437" t="s">
        <v>229</v>
      </c>
      <c r="NK1" s="438" t="s">
        <v>230</v>
      </c>
      <c r="NL1" s="438" t="s">
        <v>228</v>
      </c>
      <c r="NM1" s="437" t="s">
        <v>229</v>
      </c>
      <c r="NN1" s="438" t="s">
        <v>230</v>
      </c>
      <c r="NO1" s="438" t="s">
        <v>228</v>
      </c>
      <c r="NP1" s="437" t="s">
        <v>229</v>
      </c>
      <c r="NQ1" s="438" t="s">
        <v>230</v>
      </c>
      <c r="NR1" s="438" t="s">
        <v>228</v>
      </c>
      <c r="NS1" s="437" t="s">
        <v>229</v>
      </c>
      <c r="NT1" s="438" t="s">
        <v>230</v>
      </c>
      <c r="NU1" s="438" t="s">
        <v>228</v>
      </c>
      <c r="NV1" s="437" t="s">
        <v>229</v>
      </c>
      <c r="NW1" s="438" t="s">
        <v>230</v>
      </c>
      <c r="NX1" s="438" t="s">
        <v>228</v>
      </c>
      <c r="NY1" s="437" t="s">
        <v>229</v>
      </c>
      <c r="NZ1" s="438" t="s">
        <v>230</v>
      </c>
      <c r="OA1" s="438" t="s">
        <v>228</v>
      </c>
      <c r="OB1" s="437" t="s">
        <v>229</v>
      </c>
      <c r="OC1" s="438" t="s">
        <v>230</v>
      </c>
      <c r="OD1" s="438" t="s">
        <v>228</v>
      </c>
      <c r="OE1" s="437" t="s">
        <v>229</v>
      </c>
      <c r="OF1" s="438" t="s">
        <v>230</v>
      </c>
      <c r="OG1" s="438" t="s">
        <v>228</v>
      </c>
      <c r="OH1" s="437" t="s">
        <v>229</v>
      </c>
      <c r="OI1" s="438" t="s">
        <v>230</v>
      </c>
      <c r="OJ1" s="438" t="s">
        <v>228</v>
      </c>
      <c r="OK1" s="437" t="s">
        <v>229</v>
      </c>
      <c r="OL1" s="438" t="s">
        <v>230</v>
      </c>
      <c r="OM1" s="438" t="s">
        <v>228</v>
      </c>
      <c r="ON1" s="437" t="s">
        <v>229</v>
      </c>
      <c r="OO1" s="438" t="s">
        <v>230</v>
      </c>
      <c r="OP1" s="438" t="s">
        <v>228</v>
      </c>
      <c r="OQ1" s="437" t="s">
        <v>229</v>
      </c>
      <c r="OR1" s="438" t="s">
        <v>230</v>
      </c>
      <c r="OS1" s="438" t="s">
        <v>228</v>
      </c>
      <c r="OT1" s="437" t="s">
        <v>229</v>
      </c>
      <c r="OU1" s="438" t="s">
        <v>230</v>
      </c>
      <c r="OV1" s="438" t="s">
        <v>228</v>
      </c>
      <c r="OW1" s="437" t="s">
        <v>229</v>
      </c>
      <c r="OX1" s="438" t="s">
        <v>230</v>
      </c>
      <c r="OY1" s="438" t="s">
        <v>228</v>
      </c>
      <c r="OZ1" s="437" t="s">
        <v>229</v>
      </c>
      <c r="PA1" s="438" t="s">
        <v>230</v>
      </c>
      <c r="PB1" s="438" t="s">
        <v>228</v>
      </c>
      <c r="PC1" s="437" t="s">
        <v>229</v>
      </c>
      <c r="PD1" s="438" t="s">
        <v>230</v>
      </c>
      <c r="PE1" s="438" t="s">
        <v>228</v>
      </c>
      <c r="PF1" s="437" t="s">
        <v>229</v>
      </c>
      <c r="PG1" s="438" t="s">
        <v>230</v>
      </c>
      <c r="PH1" s="438" t="s">
        <v>228</v>
      </c>
      <c r="PI1" s="437" t="s">
        <v>229</v>
      </c>
      <c r="PJ1" s="438" t="s">
        <v>230</v>
      </c>
      <c r="PK1" s="438" t="s">
        <v>228</v>
      </c>
      <c r="PL1" s="437" t="s">
        <v>229</v>
      </c>
      <c r="PM1" s="438" t="s">
        <v>230</v>
      </c>
      <c r="PN1" s="438" t="s">
        <v>228</v>
      </c>
      <c r="PO1" s="437" t="s">
        <v>229</v>
      </c>
      <c r="PP1" s="438" t="s">
        <v>230</v>
      </c>
      <c r="PQ1" s="438" t="s">
        <v>228</v>
      </c>
      <c r="PR1" s="437" t="s">
        <v>229</v>
      </c>
      <c r="PS1" s="438" t="s">
        <v>230</v>
      </c>
      <c r="PT1" s="438" t="s">
        <v>228</v>
      </c>
      <c r="PU1" s="437" t="s">
        <v>229</v>
      </c>
      <c r="PV1" s="438" t="s">
        <v>230</v>
      </c>
      <c r="PW1" s="438" t="s">
        <v>228</v>
      </c>
      <c r="PX1" s="437" t="s">
        <v>229</v>
      </c>
      <c r="PY1" s="438" t="s">
        <v>230</v>
      </c>
      <c r="PZ1" s="438" t="s">
        <v>228</v>
      </c>
      <c r="QA1" s="437" t="s">
        <v>229</v>
      </c>
      <c r="QB1" s="438" t="s">
        <v>230</v>
      </c>
      <c r="QC1" s="438" t="s">
        <v>228</v>
      </c>
      <c r="QD1" s="437" t="s">
        <v>229</v>
      </c>
      <c r="QE1" s="438" t="s">
        <v>230</v>
      </c>
      <c r="QF1" s="438" t="s">
        <v>228</v>
      </c>
      <c r="QG1" s="437" t="s">
        <v>229</v>
      </c>
      <c r="QH1" s="438" t="s">
        <v>230</v>
      </c>
      <c r="QI1" s="438" t="s">
        <v>228</v>
      </c>
      <c r="QJ1" s="437" t="s">
        <v>229</v>
      </c>
      <c r="QK1" s="438" t="s">
        <v>230</v>
      </c>
      <c r="QL1" s="438" t="s">
        <v>228</v>
      </c>
      <c r="QM1" s="437" t="s">
        <v>229</v>
      </c>
      <c r="QN1" s="438" t="s">
        <v>230</v>
      </c>
      <c r="QO1" s="438" t="s">
        <v>228</v>
      </c>
    </row>
    <row r="2" spans="1:457" s="148" customFormat="1" ht="15.75" thickBot="1" x14ac:dyDescent="0.3">
      <c r="A2" s="427" t="s">
        <v>106</v>
      </c>
      <c r="B2" s="439">
        <v>45854</v>
      </c>
      <c r="C2" s="440">
        <v>45854</v>
      </c>
      <c r="D2" s="440">
        <v>45854</v>
      </c>
      <c r="E2" s="440">
        <f t="shared" ref="E2:J2" si="0">B2+1</f>
        <v>45855</v>
      </c>
      <c r="F2" s="440">
        <f t="shared" si="0"/>
        <v>45855</v>
      </c>
      <c r="G2" s="440">
        <f t="shared" si="0"/>
        <v>45855</v>
      </c>
      <c r="H2" s="440">
        <f t="shared" si="0"/>
        <v>45856</v>
      </c>
      <c r="I2" s="440">
        <f t="shared" si="0"/>
        <v>45856</v>
      </c>
      <c r="J2" s="440">
        <f t="shared" si="0"/>
        <v>45856</v>
      </c>
      <c r="K2" s="440">
        <f t="shared" ref="K2:BV2" si="1">H2+1</f>
        <v>45857</v>
      </c>
      <c r="L2" s="440">
        <f t="shared" si="1"/>
        <v>45857</v>
      </c>
      <c r="M2" s="440">
        <f t="shared" si="1"/>
        <v>45857</v>
      </c>
      <c r="N2" s="440">
        <f t="shared" si="1"/>
        <v>45858</v>
      </c>
      <c r="O2" s="440">
        <f t="shared" si="1"/>
        <v>45858</v>
      </c>
      <c r="P2" s="440">
        <f t="shared" si="1"/>
        <v>45858</v>
      </c>
      <c r="Q2" s="440">
        <f t="shared" si="1"/>
        <v>45859</v>
      </c>
      <c r="R2" s="440">
        <f t="shared" si="1"/>
        <v>45859</v>
      </c>
      <c r="S2" s="440">
        <f t="shared" si="1"/>
        <v>45859</v>
      </c>
      <c r="T2" s="440">
        <f t="shared" si="1"/>
        <v>45860</v>
      </c>
      <c r="U2" s="440">
        <f t="shared" si="1"/>
        <v>45860</v>
      </c>
      <c r="V2" s="440">
        <f t="shared" si="1"/>
        <v>45860</v>
      </c>
      <c r="W2" s="440">
        <f t="shared" si="1"/>
        <v>45861</v>
      </c>
      <c r="X2" s="440">
        <f t="shared" si="1"/>
        <v>45861</v>
      </c>
      <c r="Y2" s="440">
        <f t="shared" si="1"/>
        <v>45861</v>
      </c>
      <c r="Z2" s="440">
        <f t="shared" si="1"/>
        <v>45862</v>
      </c>
      <c r="AA2" s="440">
        <f t="shared" si="1"/>
        <v>45862</v>
      </c>
      <c r="AB2" s="440">
        <f t="shared" si="1"/>
        <v>45862</v>
      </c>
      <c r="AC2" s="440">
        <f t="shared" si="1"/>
        <v>45863</v>
      </c>
      <c r="AD2" s="440">
        <f t="shared" si="1"/>
        <v>45863</v>
      </c>
      <c r="AE2" s="440">
        <f t="shared" si="1"/>
        <v>45863</v>
      </c>
      <c r="AF2" s="440">
        <f t="shared" si="1"/>
        <v>45864</v>
      </c>
      <c r="AG2" s="440">
        <f t="shared" si="1"/>
        <v>45864</v>
      </c>
      <c r="AH2" s="440">
        <f t="shared" si="1"/>
        <v>45864</v>
      </c>
      <c r="AI2" s="440">
        <f t="shared" si="1"/>
        <v>45865</v>
      </c>
      <c r="AJ2" s="440">
        <f t="shared" si="1"/>
        <v>45865</v>
      </c>
      <c r="AK2" s="440">
        <f t="shared" si="1"/>
        <v>45865</v>
      </c>
      <c r="AL2" s="440">
        <f t="shared" si="1"/>
        <v>45866</v>
      </c>
      <c r="AM2" s="440">
        <f t="shared" si="1"/>
        <v>45866</v>
      </c>
      <c r="AN2" s="440">
        <f t="shared" si="1"/>
        <v>45866</v>
      </c>
      <c r="AO2" s="440">
        <f t="shared" si="1"/>
        <v>45867</v>
      </c>
      <c r="AP2" s="440">
        <f t="shared" si="1"/>
        <v>45867</v>
      </c>
      <c r="AQ2" s="440">
        <f t="shared" si="1"/>
        <v>45867</v>
      </c>
      <c r="AR2" s="440">
        <f t="shared" si="1"/>
        <v>45868</v>
      </c>
      <c r="AS2" s="440">
        <f t="shared" si="1"/>
        <v>45868</v>
      </c>
      <c r="AT2" s="440">
        <f t="shared" si="1"/>
        <v>45868</v>
      </c>
      <c r="AU2" s="440">
        <f t="shared" si="1"/>
        <v>45869</v>
      </c>
      <c r="AV2" s="440">
        <f t="shared" si="1"/>
        <v>45869</v>
      </c>
      <c r="AW2" s="440">
        <f t="shared" si="1"/>
        <v>45869</v>
      </c>
      <c r="AX2" s="440">
        <f t="shared" si="1"/>
        <v>45870</v>
      </c>
      <c r="AY2" s="440">
        <f t="shared" si="1"/>
        <v>45870</v>
      </c>
      <c r="AZ2" s="440">
        <f t="shared" si="1"/>
        <v>45870</v>
      </c>
      <c r="BA2" s="440">
        <f t="shared" si="1"/>
        <v>45871</v>
      </c>
      <c r="BB2" s="440">
        <f t="shared" si="1"/>
        <v>45871</v>
      </c>
      <c r="BC2" s="440">
        <f t="shared" si="1"/>
        <v>45871</v>
      </c>
      <c r="BD2" s="440">
        <f t="shared" si="1"/>
        <v>45872</v>
      </c>
      <c r="BE2" s="440">
        <f t="shared" si="1"/>
        <v>45872</v>
      </c>
      <c r="BF2" s="440">
        <f t="shared" si="1"/>
        <v>45872</v>
      </c>
      <c r="BG2" s="440">
        <f t="shared" si="1"/>
        <v>45873</v>
      </c>
      <c r="BH2" s="440">
        <f t="shared" si="1"/>
        <v>45873</v>
      </c>
      <c r="BI2" s="440">
        <f t="shared" si="1"/>
        <v>45873</v>
      </c>
      <c r="BJ2" s="440">
        <f t="shared" si="1"/>
        <v>45874</v>
      </c>
      <c r="BK2" s="440">
        <f t="shared" si="1"/>
        <v>45874</v>
      </c>
      <c r="BL2" s="440">
        <f t="shared" si="1"/>
        <v>45874</v>
      </c>
      <c r="BM2" s="440">
        <f t="shared" si="1"/>
        <v>45875</v>
      </c>
      <c r="BN2" s="440">
        <f t="shared" si="1"/>
        <v>45875</v>
      </c>
      <c r="BO2" s="440">
        <f t="shared" si="1"/>
        <v>45875</v>
      </c>
      <c r="BP2" s="440">
        <f t="shared" si="1"/>
        <v>45876</v>
      </c>
      <c r="BQ2" s="440">
        <f t="shared" si="1"/>
        <v>45876</v>
      </c>
      <c r="BR2" s="440">
        <f t="shared" si="1"/>
        <v>45876</v>
      </c>
      <c r="BS2" s="440">
        <f t="shared" si="1"/>
        <v>45877</v>
      </c>
      <c r="BT2" s="440">
        <f t="shared" si="1"/>
        <v>45877</v>
      </c>
      <c r="BU2" s="440">
        <f t="shared" si="1"/>
        <v>45877</v>
      </c>
      <c r="BV2" s="440">
        <f t="shared" si="1"/>
        <v>45878</v>
      </c>
      <c r="BW2" s="440">
        <f t="shared" ref="BW2:EH2" si="2">BT2+1</f>
        <v>45878</v>
      </c>
      <c r="BX2" s="440">
        <f t="shared" si="2"/>
        <v>45878</v>
      </c>
      <c r="BY2" s="440">
        <f t="shared" si="2"/>
        <v>45879</v>
      </c>
      <c r="BZ2" s="440">
        <f t="shared" si="2"/>
        <v>45879</v>
      </c>
      <c r="CA2" s="440">
        <f t="shared" si="2"/>
        <v>45879</v>
      </c>
      <c r="CB2" s="440">
        <f t="shared" si="2"/>
        <v>45880</v>
      </c>
      <c r="CC2" s="440">
        <f t="shared" si="2"/>
        <v>45880</v>
      </c>
      <c r="CD2" s="440">
        <f t="shared" si="2"/>
        <v>45880</v>
      </c>
      <c r="CE2" s="440">
        <f t="shared" si="2"/>
        <v>45881</v>
      </c>
      <c r="CF2" s="440">
        <f t="shared" si="2"/>
        <v>45881</v>
      </c>
      <c r="CG2" s="440">
        <f t="shared" si="2"/>
        <v>45881</v>
      </c>
      <c r="CH2" s="440">
        <f t="shared" si="2"/>
        <v>45882</v>
      </c>
      <c r="CI2" s="440">
        <f t="shared" si="2"/>
        <v>45882</v>
      </c>
      <c r="CJ2" s="440">
        <f t="shared" si="2"/>
        <v>45882</v>
      </c>
      <c r="CK2" s="440">
        <f t="shared" si="2"/>
        <v>45883</v>
      </c>
      <c r="CL2" s="440">
        <f t="shared" si="2"/>
        <v>45883</v>
      </c>
      <c r="CM2" s="440">
        <f t="shared" si="2"/>
        <v>45883</v>
      </c>
      <c r="CN2" s="440">
        <f t="shared" si="2"/>
        <v>45884</v>
      </c>
      <c r="CO2" s="440">
        <f t="shared" si="2"/>
        <v>45884</v>
      </c>
      <c r="CP2" s="440">
        <f t="shared" si="2"/>
        <v>45884</v>
      </c>
      <c r="CQ2" s="440">
        <f t="shared" si="2"/>
        <v>45885</v>
      </c>
      <c r="CR2" s="440">
        <f t="shared" si="2"/>
        <v>45885</v>
      </c>
      <c r="CS2" s="440">
        <f t="shared" si="2"/>
        <v>45885</v>
      </c>
      <c r="CT2" s="440">
        <f t="shared" si="2"/>
        <v>45886</v>
      </c>
      <c r="CU2" s="440">
        <f t="shared" si="2"/>
        <v>45886</v>
      </c>
      <c r="CV2" s="440">
        <f t="shared" si="2"/>
        <v>45886</v>
      </c>
      <c r="CW2" s="440">
        <f t="shared" si="2"/>
        <v>45887</v>
      </c>
      <c r="CX2" s="440">
        <f t="shared" si="2"/>
        <v>45887</v>
      </c>
      <c r="CY2" s="440">
        <f t="shared" si="2"/>
        <v>45887</v>
      </c>
      <c r="CZ2" s="440">
        <f t="shared" si="2"/>
        <v>45888</v>
      </c>
      <c r="DA2" s="440">
        <f t="shared" si="2"/>
        <v>45888</v>
      </c>
      <c r="DB2" s="440">
        <f t="shared" si="2"/>
        <v>45888</v>
      </c>
      <c r="DC2" s="440">
        <f t="shared" si="2"/>
        <v>45889</v>
      </c>
      <c r="DD2" s="440">
        <f t="shared" si="2"/>
        <v>45889</v>
      </c>
      <c r="DE2" s="440">
        <f t="shared" si="2"/>
        <v>45889</v>
      </c>
      <c r="DF2" s="440">
        <f t="shared" si="2"/>
        <v>45890</v>
      </c>
      <c r="DG2" s="440">
        <f t="shared" si="2"/>
        <v>45890</v>
      </c>
      <c r="DH2" s="440">
        <f t="shared" si="2"/>
        <v>45890</v>
      </c>
      <c r="DI2" s="440">
        <f t="shared" si="2"/>
        <v>45891</v>
      </c>
      <c r="DJ2" s="440">
        <f t="shared" si="2"/>
        <v>45891</v>
      </c>
      <c r="DK2" s="440">
        <f t="shared" si="2"/>
        <v>45891</v>
      </c>
      <c r="DL2" s="440">
        <f t="shared" si="2"/>
        <v>45892</v>
      </c>
      <c r="DM2" s="440">
        <f t="shared" si="2"/>
        <v>45892</v>
      </c>
      <c r="DN2" s="440">
        <f t="shared" si="2"/>
        <v>45892</v>
      </c>
      <c r="DO2" s="440">
        <f t="shared" si="2"/>
        <v>45893</v>
      </c>
      <c r="DP2" s="440">
        <f t="shared" si="2"/>
        <v>45893</v>
      </c>
      <c r="DQ2" s="440">
        <f t="shared" si="2"/>
        <v>45893</v>
      </c>
      <c r="DR2" s="440">
        <f t="shared" si="2"/>
        <v>45894</v>
      </c>
      <c r="DS2" s="440">
        <f t="shared" si="2"/>
        <v>45894</v>
      </c>
      <c r="DT2" s="440">
        <f t="shared" si="2"/>
        <v>45894</v>
      </c>
      <c r="DU2" s="440">
        <f t="shared" si="2"/>
        <v>45895</v>
      </c>
      <c r="DV2" s="440">
        <f t="shared" si="2"/>
        <v>45895</v>
      </c>
      <c r="DW2" s="440">
        <f t="shared" si="2"/>
        <v>45895</v>
      </c>
      <c r="DX2" s="440">
        <f t="shared" si="2"/>
        <v>45896</v>
      </c>
      <c r="DY2" s="440">
        <f t="shared" si="2"/>
        <v>45896</v>
      </c>
      <c r="DZ2" s="440">
        <f t="shared" si="2"/>
        <v>45896</v>
      </c>
      <c r="EA2" s="440">
        <f t="shared" si="2"/>
        <v>45897</v>
      </c>
      <c r="EB2" s="440">
        <f t="shared" si="2"/>
        <v>45897</v>
      </c>
      <c r="EC2" s="440">
        <f t="shared" si="2"/>
        <v>45897</v>
      </c>
      <c r="ED2" s="440">
        <f t="shared" si="2"/>
        <v>45898</v>
      </c>
      <c r="EE2" s="440">
        <f t="shared" si="2"/>
        <v>45898</v>
      </c>
      <c r="EF2" s="440">
        <f t="shared" si="2"/>
        <v>45898</v>
      </c>
      <c r="EG2" s="440">
        <f t="shared" si="2"/>
        <v>45899</v>
      </c>
      <c r="EH2" s="440">
        <f t="shared" si="2"/>
        <v>45899</v>
      </c>
      <c r="EI2" s="440">
        <f t="shared" ref="EI2:GT2" si="3">EF2+1</f>
        <v>45899</v>
      </c>
      <c r="EJ2" s="440">
        <f t="shared" si="3"/>
        <v>45900</v>
      </c>
      <c r="EK2" s="440">
        <f t="shared" si="3"/>
        <v>45900</v>
      </c>
      <c r="EL2" s="440">
        <f t="shared" si="3"/>
        <v>45900</v>
      </c>
      <c r="EM2" s="440">
        <f t="shared" si="3"/>
        <v>45901</v>
      </c>
      <c r="EN2" s="440">
        <f t="shared" si="3"/>
        <v>45901</v>
      </c>
      <c r="EO2" s="440">
        <f t="shared" si="3"/>
        <v>45901</v>
      </c>
      <c r="EP2" s="440">
        <f t="shared" si="3"/>
        <v>45902</v>
      </c>
      <c r="EQ2" s="440">
        <f t="shared" si="3"/>
        <v>45902</v>
      </c>
      <c r="ER2" s="440">
        <f t="shared" si="3"/>
        <v>45902</v>
      </c>
      <c r="ES2" s="440">
        <f t="shared" si="3"/>
        <v>45903</v>
      </c>
      <c r="ET2" s="440">
        <f t="shared" si="3"/>
        <v>45903</v>
      </c>
      <c r="EU2" s="440">
        <f t="shared" si="3"/>
        <v>45903</v>
      </c>
      <c r="EV2" s="440">
        <f t="shared" si="3"/>
        <v>45904</v>
      </c>
      <c r="EW2" s="440">
        <f t="shared" si="3"/>
        <v>45904</v>
      </c>
      <c r="EX2" s="440">
        <f t="shared" si="3"/>
        <v>45904</v>
      </c>
      <c r="EY2" s="440">
        <f t="shared" si="3"/>
        <v>45905</v>
      </c>
      <c r="EZ2" s="440">
        <f t="shared" si="3"/>
        <v>45905</v>
      </c>
      <c r="FA2" s="440">
        <f t="shared" si="3"/>
        <v>45905</v>
      </c>
      <c r="FB2" s="440">
        <f t="shared" si="3"/>
        <v>45906</v>
      </c>
      <c r="FC2" s="440">
        <f t="shared" si="3"/>
        <v>45906</v>
      </c>
      <c r="FD2" s="440">
        <f t="shared" si="3"/>
        <v>45906</v>
      </c>
      <c r="FE2" s="440">
        <f t="shared" si="3"/>
        <v>45907</v>
      </c>
      <c r="FF2" s="440">
        <f t="shared" si="3"/>
        <v>45907</v>
      </c>
      <c r="FG2" s="440">
        <f t="shared" si="3"/>
        <v>45907</v>
      </c>
      <c r="FH2" s="440">
        <f t="shared" si="3"/>
        <v>45908</v>
      </c>
      <c r="FI2" s="440">
        <f t="shared" si="3"/>
        <v>45908</v>
      </c>
      <c r="FJ2" s="440">
        <f t="shared" si="3"/>
        <v>45908</v>
      </c>
      <c r="FK2" s="440">
        <f t="shared" si="3"/>
        <v>45909</v>
      </c>
      <c r="FL2" s="440">
        <f t="shared" si="3"/>
        <v>45909</v>
      </c>
      <c r="FM2" s="440">
        <f t="shared" si="3"/>
        <v>45909</v>
      </c>
      <c r="FN2" s="440">
        <f t="shared" si="3"/>
        <v>45910</v>
      </c>
      <c r="FO2" s="440">
        <f t="shared" si="3"/>
        <v>45910</v>
      </c>
      <c r="FP2" s="440">
        <f t="shared" si="3"/>
        <v>45910</v>
      </c>
      <c r="FQ2" s="440">
        <f t="shared" si="3"/>
        <v>45911</v>
      </c>
      <c r="FR2" s="440">
        <f t="shared" si="3"/>
        <v>45911</v>
      </c>
      <c r="FS2" s="440">
        <f t="shared" si="3"/>
        <v>45911</v>
      </c>
      <c r="FT2" s="440">
        <f t="shared" si="3"/>
        <v>45912</v>
      </c>
      <c r="FU2" s="440">
        <f t="shared" si="3"/>
        <v>45912</v>
      </c>
      <c r="FV2" s="440">
        <f t="shared" si="3"/>
        <v>45912</v>
      </c>
      <c r="FW2" s="440">
        <f t="shared" si="3"/>
        <v>45913</v>
      </c>
      <c r="FX2" s="440">
        <f t="shared" si="3"/>
        <v>45913</v>
      </c>
      <c r="FY2" s="440">
        <f t="shared" si="3"/>
        <v>45913</v>
      </c>
      <c r="FZ2" s="440">
        <f t="shared" si="3"/>
        <v>45914</v>
      </c>
      <c r="GA2" s="440">
        <f t="shared" si="3"/>
        <v>45914</v>
      </c>
      <c r="GB2" s="440">
        <f t="shared" si="3"/>
        <v>45914</v>
      </c>
      <c r="GC2" s="440">
        <f t="shared" si="3"/>
        <v>45915</v>
      </c>
      <c r="GD2" s="440">
        <f t="shared" si="3"/>
        <v>45915</v>
      </c>
      <c r="GE2" s="440">
        <f t="shared" si="3"/>
        <v>45915</v>
      </c>
      <c r="GF2" s="440">
        <f t="shared" si="3"/>
        <v>45916</v>
      </c>
      <c r="GG2" s="440">
        <f t="shared" si="3"/>
        <v>45916</v>
      </c>
      <c r="GH2" s="440">
        <f t="shared" si="3"/>
        <v>45916</v>
      </c>
      <c r="GI2" s="440">
        <f t="shared" si="3"/>
        <v>45917</v>
      </c>
      <c r="GJ2" s="440">
        <f t="shared" si="3"/>
        <v>45917</v>
      </c>
      <c r="GK2" s="440">
        <f t="shared" si="3"/>
        <v>45917</v>
      </c>
      <c r="GL2" s="440">
        <f t="shared" si="3"/>
        <v>45918</v>
      </c>
      <c r="GM2" s="440">
        <f t="shared" si="3"/>
        <v>45918</v>
      </c>
      <c r="GN2" s="440">
        <f t="shared" si="3"/>
        <v>45918</v>
      </c>
      <c r="GO2" s="440">
        <f t="shared" si="3"/>
        <v>45919</v>
      </c>
      <c r="GP2" s="440">
        <f t="shared" si="3"/>
        <v>45919</v>
      </c>
      <c r="GQ2" s="440">
        <f t="shared" si="3"/>
        <v>45919</v>
      </c>
      <c r="GR2" s="440">
        <f t="shared" si="3"/>
        <v>45920</v>
      </c>
      <c r="GS2" s="440">
        <f t="shared" si="3"/>
        <v>45920</v>
      </c>
      <c r="GT2" s="440">
        <f t="shared" si="3"/>
        <v>45920</v>
      </c>
      <c r="GU2" s="440">
        <f t="shared" ref="GU2:JF2" si="4">GR2+1</f>
        <v>45921</v>
      </c>
      <c r="GV2" s="440">
        <f t="shared" si="4"/>
        <v>45921</v>
      </c>
      <c r="GW2" s="440">
        <f t="shared" si="4"/>
        <v>45921</v>
      </c>
      <c r="GX2" s="440">
        <f t="shared" si="4"/>
        <v>45922</v>
      </c>
      <c r="GY2" s="440">
        <f t="shared" si="4"/>
        <v>45922</v>
      </c>
      <c r="GZ2" s="440">
        <f t="shared" si="4"/>
        <v>45922</v>
      </c>
      <c r="HA2" s="440">
        <f t="shared" si="4"/>
        <v>45923</v>
      </c>
      <c r="HB2" s="440">
        <f t="shared" si="4"/>
        <v>45923</v>
      </c>
      <c r="HC2" s="440">
        <f t="shared" si="4"/>
        <v>45923</v>
      </c>
      <c r="HD2" s="440">
        <f t="shared" si="4"/>
        <v>45924</v>
      </c>
      <c r="HE2" s="440">
        <f t="shared" si="4"/>
        <v>45924</v>
      </c>
      <c r="HF2" s="440">
        <f t="shared" si="4"/>
        <v>45924</v>
      </c>
      <c r="HG2" s="440">
        <f t="shared" si="4"/>
        <v>45925</v>
      </c>
      <c r="HH2" s="440">
        <f t="shared" si="4"/>
        <v>45925</v>
      </c>
      <c r="HI2" s="440">
        <f t="shared" si="4"/>
        <v>45925</v>
      </c>
      <c r="HJ2" s="440">
        <f t="shared" si="4"/>
        <v>45926</v>
      </c>
      <c r="HK2" s="440">
        <f t="shared" si="4"/>
        <v>45926</v>
      </c>
      <c r="HL2" s="440">
        <f t="shared" si="4"/>
        <v>45926</v>
      </c>
      <c r="HM2" s="440">
        <f t="shared" si="4"/>
        <v>45927</v>
      </c>
      <c r="HN2" s="440">
        <f t="shared" si="4"/>
        <v>45927</v>
      </c>
      <c r="HO2" s="440">
        <f t="shared" si="4"/>
        <v>45927</v>
      </c>
      <c r="HP2" s="440">
        <f t="shared" si="4"/>
        <v>45928</v>
      </c>
      <c r="HQ2" s="440">
        <f t="shared" si="4"/>
        <v>45928</v>
      </c>
      <c r="HR2" s="440">
        <f t="shared" si="4"/>
        <v>45928</v>
      </c>
      <c r="HS2" s="440">
        <f t="shared" si="4"/>
        <v>45929</v>
      </c>
      <c r="HT2" s="440">
        <f t="shared" si="4"/>
        <v>45929</v>
      </c>
      <c r="HU2" s="440">
        <f t="shared" si="4"/>
        <v>45929</v>
      </c>
      <c r="HV2" s="440">
        <f t="shared" si="4"/>
        <v>45930</v>
      </c>
      <c r="HW2" s="440">
        <f t="shared" si="4"/>
        <v>45930</v>
      </c>
      <c r="HX2" s="440">
        <f t="shared" si="4"/>
        <v>45930</v>
      </c>
      <c r="HY2" s="440">
        <f t="shared" si="4"/>
        <v>45931</v>
      </c>
      <c r="HZ2" s="440">
        <f t="shared" si="4"/>
        <v>45931</v>
      </c>
      <c r="IA2" s="440">
        <f t="shared" si="4"/>
        <v>45931</v>
      </c>
      <c r="IB2" s="440">
        <f t="shared" si="4"/>
        <v>45932</v>
      </c>
      <c r="IC2" s="440">
        <f t="shared" si="4"/>
        <v>45932</v>
      </c>
      <c r="ID2" s="440">
        <f t="shared" si="4"/>
        <v>45932</v>
      </c>
      <c r="IE2" s="440">
        <f t="shared" si="4"/>
        <v>45933</v>
      </c>
      <c r="IF2" s="440">
        <f t="shared" si="4"/>
        <v>45933</v>
      </c>
      <c r="IG2" s="440">
        <f t="shared" si="4"/>
        <v>45933</v>
      </c>
      <c r="IH2" s="440">
        <f t="shared" si="4"/>
        <v>45934</v>
      </c>
      <c r="II2" s="440">
        <f t="shared" si="4"/>
        <v>45934</v>
      </c>
      <c r="IJ2" s="440">
        <f t="shared" si="4"/>
        <v>45934</v>
      </c>
      <c r="IK2" s="440">
        <f t="shared" si="4"/>
        <v>45935</v>
      </c>
      <c r="IL2" s="440">
        <f t="shared" si="4"/>
        <v>45935</v>
      </c>
      <c r="IM2" s="440">
        <f t="shared" si="4"/>
        <v>45935</v>
      </c>
      <c r="IN2" s="440">
        <f t="shared" si="4"/>
        <v>45936</v>
      </c>
      <c r="IO2" s="440">
        <f t="shared" si="4"/>
        <v>45936</v>
      </c>
      <c r="IP2" s="440">
        <f t="shared" si="4"/>
        <v>45936</v>
      </c>
      <c r="IQ2" s="440">
        <f t="shared" si="4"/>
        <v>45937</v>
      </c>
      <c r="IR2" s="440">
        <f t="shared" si="4"/>
        <v>45937</v>
      </c>
      <c r="IS2" s="440">
        <f t="shared" si="4"/>
        <v>45937</v>
      </c>
      <c r="IT2" s="440">
        <f t="shared" si="4"/>
        <v>45938</v>
      </c>
      <c r="IU2" s="440">
        <f t="shared" si="4"/>
        <v>45938</v>
      </c>
      <c r="IV2" s="440">
        <f t="shared" si="4"/>
        <v>45938</v>
      </c>
      <c r="IW2" s="440">
        <f t="shared" si="4"/>
        <v>45939</v>
      </c>
      <c r="IX2" s="440">
        <f t="shared" si="4"/>
        <v>45939</v>
      </c>
      <c r="IY2" s="440">
        <f t="shared" si="4"/>
        <v>45939</v>
      </c>
      <c r="IZ2" s="440">
        <f t="shared" si="4"/>
        <v>45940</v>
      </c>
      <c r="JA2" s="440">
        <f t="shared" si="4"/>
        <v>45940</v>
      </c>
      <c r="JB2" s="440">
        <f t="shared" si="4"/>
        <v>45940</v>
      </c>
      <c r="JC2" s="440">
        <f t="shared" si="4"/>
        <v>45941</v>
      </c>
      <c r="JD2" s="440">
        <f t="shared" si="4"/>
        <v>45941</v>
      </c>
      <c r="JE2" s="440">
        <f t="shared" si="4"/>
        <v>45941</v>
      </c>
      <c r="JF2" s="440">
        <f t="shared" si="4"/>
        <v>45942</v>
      </c>
      <c r="JG2" s="440">
        <f t="shared" ref="JG2:LR2" si="5">JD2+1</f>
        <v>45942</v>
      </c>
      <c r="JH2" s="440">
        <f t="shared" si="5"/>
        <v>45942</v>
      </c>
      <c r="JI2" s="440">
        <f t="shared" si="5"/>
        <v>45943</v>
      </c>
      <c r="JJ2" s="440">
        <f t="shared" si="5"/>
        <v>45943</v>
      </c>
      <c r="JK2" s="440">
        <f t="shared" si="5"/>
        <v>45943</v>
      </c>
      <c r="JL2" s="440">
        <f t="shared" si="5"/>
        <v>45944</v>
      </c>
      <c r="JM2" s="440">
        <f t="shared" si="5"/>
        <v>45944</v>
      </c>
      <c r="JN2" s="440">
        <f t="shared" si="5"/>
        <v>45944</v>
      </c>
      <c r="JO2" s="440">
        <f t="shared" si="5"/>
        <v>45945</v>
      </c>
      <c r="JP2" s="440">
        <f t="shared" si="5"/>
        <v>45945</v>
      </c>
      <c r="JQ2" s="440">
        <f t="shared" si="5"/>
        <v>45945</v>
      </c>
      <c r="JR2" s="440">
        <f t="shared" si="5"/>
        <v>45946</v>
      </c>
      <c r="JS2" s="440">
        <f t="shared" si="5"/>
        <v>45946</v>
      </c>
      <c r="JT2" s="440">
        <f t="shared" si="5"/>
        <v>45946</v>
      </c>
      <c r="JU2" s="440">
        <f t="shared" si="5"/>
        <v>45947</v>
      </c>
      <c r="JV2" s="440">
        <f t="shared" si="5"/>
        <v>45947</v>
      </c>
      <c r="JW2" s="440">
        <f t="shared" si="5"/>
        <v>45947</v>
      </c>
      <c r="JX2" s="440">
        <f t="shared" si="5"/>
        <v>45948</v>
      </c>
      <c r="JY2" s="440">
        <f t="shared" si="5"/>
        <v>45948</v>
      </c>
      <c r="JZ2" s="440">
        <f t="shared" si="5"/>
        <v>45948</v>
      </c>
      <c r="KA2" s="440">
        <f t="shared" si="5"/>
        <v>45949</v>
      </c>
      <c r="KB2" s="440">
        <f t="shared" si="5"/>
        <v>45949</v>
      </c>
      <c r="KC2" s="440">
        <f t="shared" si="5"/>
        <v>45949</v>
      </c>
      <c r="KD2" s="440">
        <f t="shared" si="5"/>
        <v>45950</v>
      </c>
      <c r="KE2" s="440">
        <f t="shared" si="5"/>
        <v>45950</v>
      </c>
      <c r="KF2" s="440">
        <f t="shared" si="5"/>
        <v>45950</v>
      </c>
      <c r="KG2" s="440">
        <f t="shared" si="5"/>
        <v>45951</v>
      </c>
      <c r="KH2" s="440">
        <f t="shared" si="5"/>
        <v>45951</v>
      </c>
      <c r="KI2" s="440">
        <f t="shared" si="5"/>
        <v>45951</v>
      </c>
      <c r="KJ2" s="440">
        <f t="shared" si="5"/>
        <v>45952</v>
      </c>
      <c r="KK2" s="440">
        <f t="shared" si="5"/>
        <v>45952</v>
      </c>
      <c r="KL2" s="440">
        <f t="shared" si="5"/>
        <v>45952</v>
      </c>
      <c r="KM2" s="440">
        <f t="shared" si="5"/>
        <v>45953</v>
      </c>
      <c r="KN2" s="440">
        <f t="shared" si="5"/>
        <v>45953</v>
      </c>
      <c r="KO2" s="440">
        <f t="shared" si="5"/>
        <v>45953</v>
      </c>
      <c r="KP2" s="440">
        <f t="shared" si="5"/>
        <v>45954</v>
      </c>
      <c r="KQ2" s="440">
        <f t="shared" si="5"/>
        <v>45954</v>
      </c>
      <c r="KR2" s="440">
        <f t="shared" si="5"/>
        <v>45954</v>
      </c>
      <c r="KS2" s="440">
        <f t="shared" si="5"/>
        <v>45955</v>
      </c>
      <c r="KT2" s="440">
        <f t="shared" si="5"/>
        <v>45955</v>
      </c>
      <c r="KU2" s="440">
        <f t="shared" si="5"/>
        <v>45955</v>
      </c>
      <c r="KV2" s="440">
        <f t="shared" si="5"/>
        <v>45956</v>
      </c>
      <c r="KW2" s="440">
        <f t="shared" si="5"/>
        <v>45956</v>
      </c>
      <c r="KX2" s="440">
        <f t="shared" si="5"/>
        <v>45956</v>
      </c>
      <c r="KY2" s="440">
        <f t="shared" si="5"/>
        <v>45957</v>
      </c>
      <c r="KZ2" s="440">
        <f t="shared" si="5"/>
        <v>45957</v>
      </c>
      <c r="LA2" s="440">
        <f t="shared" si="5"/>
        <v>45957</v>
      </c>
      <c r="LB2" s="440">
        <f t="shared" si="5"/>
        <v>45958</v>
      </c>
      <c r="LC2" s="440">
        <f t="shared" si="5"/>
        <v>45958</v>
      </c>
      <c r="LD2" s="440">
        <f t="shared" si="5"/>
        <v>45958</v>
      </c>
      <c r="LE2" s="440">
        <f t="shared" si="5"/>
        <v>45959</v>
      </c>
      <c r="LF2" s="440">
        <f t="shared" si="5"/>
        <v>45959</v>
      </c>
      <c r="LG2" s="440">
        <f t="shared" si="5"/>
        <v>45959</v>
      </c>
      <c r="LH2" s="440">
        <f t="shared" si="5"/>
        <v>45960</v>
      </c>
      <c r="LI2" s="440">
        <f t="shared" si="5"/>
        <v>45960</v>
      </c>
      <c r="LJ2" s="440">
        <f t="shared" si="5"/>
        <v>45960</v>
      </c>
      <c r="LK2" s="440">
        <f t="shared" si="5"/>
        <v>45961</v>
      </c>
      <c r="LL2" s="440">
        <f t="shared" si="5"/>
        <v>45961</v>
      </c>
      <c r="LM2" s="440">
        <f t="shared" si="5"/>
        <v>45961</v>
      </c>
      <c r="LN2" s="440">
        <f t="shared" si="5"/>
        <v>45962</v>
      </c>
      <c r="LO2" s="440">
        <f t="shared" si="5"/>
        <v>45962</v>
      </c>
      <c r="LP2" s="440">
        <f t="shared" si="5"/>
        <v>45962</v>
      </c>
      <c r="LQ2" s="440">
        <f t="shared" si="5"/>
        <v>45963</v>
      </c>
      <c r="LR2" s="440">
        <f t="shared" si="5"/>
        <v>45963</v>
      </c>
      <c r="LS2" s="440">
        <f t="shared" ref="LS2:MX2" si="6">LP2+1</f>
        <v>45963</v>
      </c>
      <c r="LT2" s="440">
        <f t="shared" si="6"/>
        <v>45964</v>
      </c>
      <c r="LU2" s="440">
        <f t="shared" si="6"/>
        <v>45964</v>
      </c>
      <c r="LV2" s="440">
        <f t="shared" si="6"/>
        <v>45964</v>
      </c>
      <c r="LW2" s="440">
        <f t="shared" si="6"/>
        <v>45965</v>
      </c>
      <c r="LX2" s="440">
        <f t="shared" si="6"/>
        <v>45965</v>
      </c>
      <c r="LY2" s="440">
        <f t="shared" si="6"/>
        <v>45965</v>
      </c>
      <c r="LZ2" s="440">
        <f t="shared" si="6"/>
        <v>45966</v>
      </c>
      <c r="MA2" s="440">
        <f t="shared" si="6"/>
        <v>45966</v>
      </c>
      <c r="MB2" s="440">
        <f t="shared" si="6"/>
        <v>45966</v>
      </c>
      <c r="MC2" s="440">
        <f t="shared" si="6"/>
        <v>45967</v>
      </c>
      <c r="MD2" s="440">
        <f t="shared" si="6"/>
        <v>45967</v>
      </c>
      <c r="ME2" s="440">
        <f t="shared" si="6"/>
        <v>45967</v>
      </c>
      <c r="MF2" s="440">
        <f t="shared" si="6"/>
        <v>45968</v>
      </c>
      <c r="MG2" s="440">
        <f t="shared" si="6"/>
        <v>45968</v>
      </c>
      <c r="MH2" s="440">
        <f t="shared" si="6"/>
        <v>45968</v>
      </c>
      <c r="MI2" s="440">
        <f t="shared" si="6"/>
        <v>45969</v>
      </c>
      <c r="MJ2" s="440">
        <f t="shared" si="6"/>
        <v>45969</v>
      </c>
      <c r="MK2" s="440">
        <f t="shared" si="6"/>
        <v>45969</v>
      </c>
      <c r="ML2" s="440">
        <f t="shared" si="6"/>
        <v>45970</v>
      </c>
      <c r="MM2" s="440">
        <f t="shared" si="6"/>
        <v>45970</v>
      </c>
      <c r="MN2" s="440">
        <f t="shared" si="6"/>
        <v>45970</v>
      </c>
      <c r="MO2" s="440">
        <f t="shared" si="6"/>
        <v>45971</v>
      </c>
      <c r="MP2" s="440">
        <f t="shared" si="6"/>
        <v>45971</v>
      </c>
      <c r="MQ2" s="440">
        <f t="shared" si="6"/>
        <v>45971</v>
      </c>
      <c r="MR2" s="440">
        <f t="shared" si="6"/>
        <v>45972</v>
      </c>
      <c r="MS2" s="440">
        <f t="shared" si="6"/>
        <v>45972</v>
      </c>
      <c r="MT2" s="440">
        <f t="shared" si="6"/>
        <v>45972</v>
      </c>
      <c r="MU2" s="440">
        <f t="shared" si="6"/>
        <v>45973</v>
      </c>
      <c r="MV2" s="440">
        <f t="shared" si="6"/>
        <v>45973</v>
      </c>
      <c r="MW2" s="440">
        <f t="shared" si="6"/>
        <v>45973</v>
      </c>
      <c r="MX2" s="440">
        <f t="shared" si="6"/>
        <v>45974</v>
      </c>
      <c r="MY2" s="440">
        <f t="shared" ref="MY2:ND2" si="7">MV2+1</f>
        <v>45974</v>
      </c>
      <c r="MZ2" s="440">
        <f t="shared" si="7"/>
        <v>45974</v>
      </c>
      <c r="NA2" s="440">
        <f t="shared" si="7"/>
        <v>45975</v>
      </c>
      <c r="NB2" s="440">
        <f t="shared" si="7"/>
        <v>45975</v>
      </c>
      <c r="NC2" s="440">
        <f t="shared" si="7"/>
        <v>45975</v>
      </c>
      <c r="ND2" s="440">
        <f t="shared" si="7"/>
        <v>45976</v>
      </c>
      <c r="NE2" s="440">
        <f t="shared" ref="NE2" si="8">NB2+1</f>
        <v>45976</v>
      </c>
      <c r="NF2" s="440">
        <f t="shared" ref="NF2" si="9">NC2+1</f>
        <v>45976</v>
      </c>
      <c r="NG2" s="440">
        <f t="shared" ref="NG2" si="10">ND2+1</f>
        <v>45977</v>
      </c>
      <c r="NH2" s="440">
        <f t="shared" ref="NH2" si="11">NE2+1</f>
        <v>45977</v>
      </c>
      <c r="NI2" s="440">
        <f t="shared" ref="NI2" si="12">NF2+1</f>
        <v>45977</v>
      </c>
      <c r="NJ2" s="440">
        <f t="shared" ref="NJ2" si="13">NG2+1</f>
        <v>45978</v>
      </c>
      <c r="NK2" s="440">
        <f t="shared" ref="NK2" si="14">NH2+1</f>
        <v>45978</v>
      </c>
      <c r="NL2" s="440">
        <f t="shared" ref="NL2" si="15">NI2+1</f>
        <v>45978</v>
      </c>
      <c r="NM2" s="440">
        <f t="shared" ref="NM2" si="16">NJ2+1</f>
        <v>45979</v>
      </c>
      <c r="NN2" s="440">
        <f t="shared" ref="NN2" si="17">NK2+1</f>
        <v>45979</v>
      </c>
      <c r="NO2" s="440">
        <f t="shared" ref="NO2" si="18">NL2+1</f>
        <v>45979</v>
      </c>
      <c r="NP2" s="440">
        <f t="shared" ref="NP2" si="19">NM2+1</f>
        <v>45980</v>
      </c>
      <c r="NQ2" s="440">
        <f t="shared" ref="NQ2" si="20">NN2+1</f>
        <v>45980</v>
      </c>
      <c r="NR2" s="440">
        <f t="shared" ref="NR2" si="21">NO2+1</f>
        <v>45980</v>
      </c>
      <c r="NS2" s="440">
        <f t="shared" ref="NS2" si="22">NP2+1</f>
        <v>45981</v>
      </c>
      <c r="NT2" s="440">
        <f t="shared" ref="NT2" si="23">NQ2+1</f>
        <v>45981</v>
      </c>
      <c r="NU2" s="440">
        <f t="shared" ref="NU2" si="24">NR2+1</f>
        <v>45981</v>
      </c>
      <c r="NV2" s="440">
        <f t="shared" ref="NV2" si="25">NS2+1</f>
        <v>45982</v>
      </c>
      <c r="NW2" s="440">
        <f t="shared" ref="NW2" si="26">NT2+1</f>
        <v>45982</v>
      </c>
      <c r="NX2" s="440">
        <f t="shared" ref="NX2" si="27">NU2+1</f>
        <v>45982</v>
      </c>
      <c r="NY2" s="440">
        <f t="shared" ref="NY2" si="28">NV2+1</f>
        <v>45983</v>
      </c>
      <c r="NZ2" s="440">
        <f t="shared" ref="NZ2" si="29">NW2+1</f>
        <v>45983</v>
      </c>
      <c r="OA2" s="440">
        <f t="shared" ref="OA2" si="30">NX2+1</f>
        <v>45983</v>
      </c>
      <c r="OB2" s="440">
        <f t="shared" ref="OB2" si="31">NY2+1</f>
        <v>45984</v>
      </c>
      <c r="OC2" s="440">
        <f t="shared" ref="OC2" si="32">NZ2+1</f>
        <v>45984</v>
      </c>
      <c r="OD2" s="440">
        <f t="shared" ref="OD2" si="33">OA2+1</f>
        <v>45984</v>
      </c>
      <c r="OE2" s="440">
        <f t="shared" ref="OE2" si="34">OB2+1</f>
        <v>45985</v>
      </c>
      <c r="OF2" s="440">
        <f t="shared" ref="OF2" si="35">OC2+1</f>
        <v>45985</v>
      </c>
      <c r="OG2" s="440">
        <f t="shared" ref="OG2" si="36">OD2+1</f>
        <v>45985</v>
      </c>
      <c r="OH2" s="440">
        <f t="shared" ref="OH2" si="37">OE2+1</f>
        <v>45986</v>
      </c>
      <c r="OI2" s="440">
        <f t="shared" ref="OI2" si="38">OF2+1</f>
        <v>45986</v>
      </c>
      <c r="OJ2" s="440">
        <f t="shared" ref="OJ2" si="39">OG2+1</f>
        <v>45986</v>
      </c>
      <c r="OK2" s="440">
        <f t="shared" ref="OK2" si="40">OH2+1</f>
        <v>45987</v>
      </c>
      <c r="OL2" s="440">
        <f t="shared" ref="OL2" si="41">OI2+1</f>
        <v>45987</v>
      </c>
      <c r="OM2" s="440">
        <f t="shared" ref="OM2" si="42">OJ2+1</f>
        <v>45987</v>
      </c>
      <c r="ON2" s="440">
        <f t="shared" ref="ON2" si="43">OK2+1</f>
        <v>45988</v>
      </c>
      <c r="OO2" s="440">
        <f t="shared" ref="OO2" si="44">OL2+1</f>
        <v>45988</v>
      </c>
      <c r="OP2" s="440">
        <f t="shared" ref="OP2" si="45">OM2+1</f>
        <v>45988</v>
      </c>
      <c r="OQ2" s="440">
        <f t="shared" ref="OQ2" si="46">ON2+1</f>
        <v>45989</v>
      </c>
      <c r="OR2" s="440">
        <f t="shared" ref="OR2" si="47">OO2+1</f>
        <v>45989</v>
      </c>
      <c r="OS2" s="440">
        <f t="shared" ref="OS2" si="48">OP2+1</f>
        <v>45989</v>
      </c>
      <c r="OT2" s="440">
        <f t="shared" ref="OT2" si="49">OQ2+1</f>
        <v>45990</v>
      </c>
      <c r="OU2" s="440">
        <f t="shared" ref="OU2" si="50">OR2+1</f>
        <v>45990</v>
      </c>
      <c r="OV2" s="440">
        <f t="shared" ref="OV2" si="51">OS2+1</f>
        <v>45990</v>
      </c>
      <c r="OW2" s="440">
        <f t="shared" ref="OW2" si="52">OT2+1</f>
        <v>45991</v>
      </c>
      <c r="OX2" s="440">
        <f t="shared" ref="OX2" si="53">OU2+1</f>
        <v>45991</v>
      </c>
      <c r="OY2" s="440">
        <f t="shared" ref="OY2" si="54">OV2+1</f>
        <v>45991</v>
      </c>
      <c r="OZ2" s="440">
        <f t="shared" ref="OZ2" si="55">OW2+1</f>
        <v>45992</v>
      </c>
      <c r="PA2" s="440">
        <f t="shared" ref="PA2" si="56">OX2+1</f>
        <v>45992</v>
      </c>
      <c r="PB2" s="440">
        <f t="shared" ref="PB2" si="57">OY2+1</f>
        <v>45992</v>
      </c>
      <c r="PC2" s="440">
        <f t="shared" ref="PC2" si="58">OZ2+1</f>
        <v>45993</v>
      </c>
      <c r="PD2" s="440">
        <f t="shared" ref="PD2" si="59">PA2+1</f>
        <v>45993</v>
      </c>
      <c r="PE2" s="440">
        <f t="shared" ref="PE2" si="60">PB2+1</f>
        <v>45993</v>
      </c>
      <c r="PF2" s="440">
        <f t="shared" ref="PF2" si="61">PC2+1</f>
        <v>45994</v>
      </c>
      <c r="PG2" s="440">
        <f t="shared" ref="PG2" si="62">PD2+1</f>
        <v>45994</v>
      </c>
      <c r="PH2" s="440">
        <f t="shared" ref="PH2" si="63">PE2+1</f>
        <v>45994</v>
      </c>
      <c r="PI2" s="440">
        <f t="shared" ref="PI2" si="64">PF2+1</f>
        <v>45995</v>
      </c>
      <c r="PJ2" s="440">
        <f t="shared" ref="PJ2" si="65">PG2+1</f>
        <v>45995</v>
      </c>
      <c r="PK2" s="440">
        <f t="shared" ref="PK2" si="66">PH2+1</f>
        <v>45995</v>
      </c>
      <c r="PL2" s="440">
        <f t="shared" ref="PL2" si="67">PI2+1</f>
        <v>45996</v>
      </c>
      <c r="PM2" s="440">
        <f t="shared" ref="PM2" si="68">PJ2+1</f>
        <v>45996</v>
      </c>
      <c r="PN2" s="440">
        <f t="shared" ref="PN2" si="69">PK2+1</f>
        <v>45996</v>
      </c>
      <c r="PO2" s="440">
        <f t="shared" ref="PO2" si="70">PL2+1</f>
        <v>45997</v>
      </c>
      <c r="PP2" s="440">
        <f t="shared" ref="PP2" si="71">PM2+1</f>
        <v>45997</v>
      </c>
      <c r="PQ2" s="440">
        <f t="shared" ref="PQ2" si="72">PN2+1</f>
        <v>45997</v>
      </c>
      <c r="PR2" s="440">
        <f t="shared" ref="PR2" si="73">PO2+1</f>
        <v>45998</v>
      </c>
      <c r="PS2" s="440">
        <f t="shared" ref="PS2" si="74">PP2+1</f>
        <v>45998</v>
      </c>
      <c r="PT2" s="440">
        <f t="shared" ref="PT2" si="75">PQ2+1</f>
        <v>45998</v>
      </c>
      <c r="PU2" s="440">
        <f t="shared" ref="PU2" si="76">PR2+1</f>
        <v>45999</v>
      </c>
      <c r="PV2" s="440">
        <f t="shared" ref="PV2" si="77">PS2+1</f>
        <v>45999</v>
      </c>
      <c r="PW2" s="440">
        <f t="shared" ref="PW2" si="78">PT2+1</f>
        <v>45999</v>
      </c>
      <c r="PX2" s="440">
        <f t="shared" ref="PX2" si="79">PU2+1</f>
        <v>46000</v>
      </c>
      <c r="PY2" s="440">
        <f t="shared" ref="PY2" si="80">PV2+1</f>
        <v>46000</v>
      </c>
      <c r="PZ2" s="440">
        <f t="shared" ref="PZ2" si="81">PW2+1</f>
        <v>46000</v>
      </c>
      <c r="QA2" s="440">
        <f t="shared" ref="QA2" si="82">PX2+1</f>
        <v>46001</v>
      </c>
      <c r="QB2" s="440">
        <f t="shared" ref="QB2" si="83">PY2+1</f>
        <v>46001</v>
      </c>
      <c r="QC2" s="440">
        <f t="shared" ref="QC2" si="84">PZ2+1</f>
        <v>46001</v>
      </c>
      <c r="QD2" s="440">
        <f t="shared" ref="QD2" si="85">QA2+1</f>
        <v>46002</v>
      </c>
      <c r="QE2" s="440">
        <f t="shared" ref="QE2" si="86">QB2+1</f>
        <v>46002</v>
      </c>
      <c r="QF2" s="440">
        <f t="shared" ref="QF2" si="87">QC2+1</f>
        <v>46002</v>
      </c>
      <c r="QG2" s="440">
        <f t="shared" ref="QG2" si="88">QD2+1</f>
        <v>46003</v>
      </c>
      <c r="QH2" s="440">
        <f t="shared" ref="QH2" si="89">QE2+1</f>
        <v>46003</v>
      </c>
      <c r="QI2" s="440">
        <f t="shared" ref="QI2" si="90">QF2+1</f>
        <v>46003</v>
      </c>
      <c r="QJ2" s="440">
        <f t="shared" ref="QJ2" si="91">QG2+1</f>
        <v>46004</v>
      </c>
      <c r="QK2" s="440">
        <f t="shared" ref="QK2" si="92">QH2+1</f>
        <v>46004</v>
      </c>
      <c r="QL2" s="440">
        <f>QI2+1</f>
        <v>46004</v>
      </c>
      <c r="QM2" s="440">
        <f>QJ2+1</f>
        <v>46005</v>
      </c>
      <c r="QN2" s="440">
        <f>QK2+1</f>
        <v>46005</v>
      </c>
      <c r="QO2" s="441">
        <f>QL2+1</f>
        <v>46005</v>
      </c>
    </row>
    <row r="3" spans="1:457" ht="30" customHeight="1" x14ac:dyDescent="0.25">
      <c r="A3" s="428" t="str">
        <f>Salas!A2</f>
        <v>02 - Sala de Aula</v>
      </c>
      <c r="B3" s="429" t="s">
        <v>446</v>
      </c>
      <c r="C3" s="430" t="s">
        <v>446</v>
      </c>
      <c r="D3" s="430" t="s">
        <v>446</v>
      </c>
      <c r="E3" s="430" t="s">
        <v>446</v>
      </c>
      <c r="F3" s="432" t="s">
        <v>254</v>
      </c>
      <c r="G3" s="430" t="s">
        <v>446</v>
      </c>
      <c r="H3" s="430" t="s">
        <v>446</v>
      </c>
      <c r="I3" s="430" t="s">
        <v>446</v>
      </c>
      <c r="J3" s="430" t="s">
        <v>446</v>
      </c>
      <c r="K3" s="430" t="s">
        <v>446</v>
      </c>
      <c r="L3" s="430" t="s">
        <v>446</v>
      </c>
      <c r="M3" s="430" t="s">
        <v>446</v>
      </c>
      <c r="N3" s="430" t="s">
        <v>446</v>
      </c>
      <c r="O3" s="430" t="s">
        <v>446</v>
      </c>
      <c r="P3" s="430" t="s">
        <v>446</v>
      </c>
      <c r="Q3" s="430" t="s">
        <v>446</v>
      </c>
      <c r="R3" s="430" t="s">
        <v>446</v>
      </c>
      <c r="S3" s="430" t="s">
        <v>446</v>
      </c>
      <c r="T3" s="430" t="s">
        <v>446</v>
      </c>
      <c r="U3" s="432" t="s">
        <v>254</v>
      </c>
      <c r="V3" s="430" t="s">
        <v>446</v>
      </c>
      <c r="W3" s="430" t="s">
        <v>446</v>
      </c>
      <c r="X3" s="430" t="s">
        <v>446</v>
      </c>
      <c r="Y3" s="430" t="s">
        <v>446</v>
      </c>
      <c r="Z3" s="430" t="s">
        <v>446</v>
      </c>
      <c r="AA3" s="432" t="s">
        <v>254</v>
      </c>
      <c r="AB3" s="430" t="s">
        <v>446</v>
      </c>
      <c r="AC3" s="430" t="s">
        <v>446</v>
      </c>
      <c r="AD3" s="430" t="s">
        <v>446</v>
      </c>
      <c r="AE3" s="430" t="s">
        <v>446</v>
      </c>
      <c r="AF3" s="430" t="s">
        <v>446</v>
      </c>
      <c r="AG3" s="430" t="s">
        <v>446</v>
      </c>
      <c r="AH3" s="430" t="s">
        <v>446</v>
      </c>
      <c r="AI3" s="430" t="s">
        <v>446</v>
      </c>
      <c r="AJ3" s="430" t="s">
        <v>446</v>
      </c>
      <c r="AK3" s="430" t="s">
        <v>446</v>
      </c>
      <c r="AL3" s="430" t="s">
        <v>446</v>
      </c>
      <c r="AM3" s="430" t="s">
        <v>446</v>
      </c>
      <c r="AN3" s="430" t="s">
        <v>446</v>
      </c>
      <c r="AO3" s="430" t="s">
        <v>446</v>
      </c>
      <c r="AP3" s="432" t="s">
        <v>254</v>
      </c>
      <c r="AQ3" s="430" t="s">
        <v>446</v>
      </c>
      <c r="AR3" s="430" t="s">
        <v>446</v>
      </c>
      <c r="AS3" s="430" t="s">
        <v>446</v>
      </c>
      <c r="AT3" s="430" t="s">
        <v>446</v>
      </c>
      <c r="AU3" s="430" t="s">
        <v>446</v>
      </c>
      <c r="AV3" s="432" t="s">
        <v>254</v>
      </c>
      <c r="AW3" s="430" t="s">
        <v>446</v>
      </c>
      <c r="AX3" s="430" t="s">
        <v>446</v>
      </c>
      <c r="AY3" s="430" t="s">
        <v>446</v>
      </c>
      <c r="AZ3" s="430" t="s">
        <v>446</v>
      </c>
      <c r="BA3" s="430" t="s">
        <v>446</v>
      </c>
      <c r="BB3" s="430" t="s">
        <v>446</v>
      </c>
      <c r="BC3" s="430" t="s">
        <v>446</v>
      </c>
      <c r="BD3" s="430" t="s">
        <v>446</v>
      </c>
      <c r="BE3" s="430" t="s">
        <v>446</v>
      </c>
      <c r="BF3" s="430" t="s">
        <v>446</v>
      </c>
      <c r="BG3" s="430" t="s">
        <v>446</v>
      </c>
      <c r="BH3" s="430" t="s">
        <v>446</v>
      </c>
      <c r="BI3" s="430" t="s">
        <v>446</v>
      </c>
      <c r="BJ3" s="430" t="s">
        <v>446</v>
      </c>
      <c r="BK3" s="432" t="s">
        <v>254</v>
      </c>
      <c r="BL3" s="430" t="s">
        <v>446</v>
      </c>
      <c r="BM3" s="430" t="s">
        <v>446</v>
      </c>
      <c r="BN3" s="430" t="s">
        <v>446</v>
      </c>
      <c r="BO3" s="430" t="s">
        <v>446</v>
      </c>
      <c r="BP3" s="430" t="s">
        <v>446</v>
      </c>
      <c r="BQ3" s="432" t="s">
        <v>254</v>
      </c>
      <c r="BR3" s="430" t="s">
        <v>446</v>
      </c>
      <c r="BS3" s="430" t="s">
        <v>446</v>
      </c>
      <c r="BT3" s="430" t="s">
        <v>446</v>
      </c>
      <c r="BU3" s="430" t="s">
        <v>446</v>
      </c>
      <c r="BV3" s="430" t="s">
        <v>446</v>
      </c>
      <c r="BW3" s="430" t="s">
        <v>446</v>
      </c>
      <c r="BX3" s="430" t="s">
        <v>446</v>
      </c>
      <c r="BY3" s="430" t="s">
        <v>446</v>
      </c>
      <c r="BZ3" s="430" t="s">
        <v>446</v>
      </c>
      <c r="CA3" s="430" t="s">
        <v>446</v>
      </c>
      <c r="CB3" s="430" t="s">
        <v>446</v>
      </c>
      <c r="CC3" s="430" t="s">
        <v>446</v>
      </c>
      <c r="CD3" s="430" t="s">
        <v>446</v>
      </c>
      <c r="CE3" s="430" t="s">
        <v>446</v>
      </c>
      <c r="CF3" s="432" t="s">
        <v>254</v>
      </c>
      <c r="CG3" s="430" t="s">
        <v>446</v>
      </c>
      <c r="CH3" s="430" t="s">
        <v>446</v>
      </c>
      <c r="CI3" s="430" t="s">
        <v>446</v>
      </c>
      <c r="CJ3" s="430" t="s">
        <v>446</v>
      </c>
      <c r="CK3" s="430" t="s">
        <v>446</v>
      </c>
      <c r="CL3" s="432" t="s">
        <v>254</v>
      </c>
      <c r="CM3" s="430" t="s">
        <v>446</v>
      </c>
      <c r="CN3" s="430" t="s">
        <v>446</v>
      </c>
      <c r="CO3" s="430" t="s">
        <v>446</v>
      </c>
      <c r="CP3" s="430" t="s">
        <v>446</v>
      </c>
      <c r="CQ3" s="430" t="s">
        <v>446</v>
      </c>
      <c r="CR3" s="430" t="s">
        <v>446</v>
      </c>
      <c r="CS3" s="430" t="s">
        <v>446</v>
      </c>
      <c r="CT3" s="430" t="s">
        <v>446</v>
      </c>
      <c r="CU3" s="430" t="s">
        <v>446</v>
      </c>
      <c r="CV3" s="430" t="s">
        <v>446</v>
      </c>
      <c r="CW3" s="430" t="s">
        <v>446</v>
      </c>
      <c r="CX3" s="430" t="s">
        <v>446</v>
      </c>
      <c r="CY3" s="430" t="s">
        <v>446</v>
      </c>
      <c r="CZ3" s="430" t="s">
        <v>446</v>
      </c>
      <c r="DA3" s="432" t="s">
        <v>254</v>
      </c>
      <c r="DB3" s="430" t="s">
        <v>446</v>
      </c>
      <c r="DC3" s="430" t="s">
        <v>446</v>
      </c>
      <c r="DD3" s="430" t="s">
        <v>446</v>
      </c>
      <c r="DE3" s="430" t="s">
        <v>446</v>
      </c>
      <c r="DF3" s="430" t="s">
        <v>446</v>
      </c>
      <c r="DG3" s="432" t="s">
        <v>254</v>
      </c>
      <c r="DH3" s="430" t="s">
        <v>446</v>
      </c>
      <c r="DI3" s="430" t="s">
        <v>446</v>
      </c>
      <c r="DJ3" s="430" t="s">
        <v>446</v>
      </c>
      <c r="DK3" s="430" t="s">
        <v>446</v>
      </c>
      <c r="DL3" s="430" t="s">
        <v>446</v>
      </c>
      <c r="DM3" s="430" t="s">
        <v>446</v>
      </c>
      <c r="DN3" s="430" t="s">
        <v>446</v>
      </c>
      <c r="DO3" s="430" t="s">
        <v>446</v>
      </c>
      <c r="DP3" s="430" t="s">
        <v>446</v>
      </c>
      <c r="DQ3" s="430" t="s">
        <v>446</v>
      </c>
      <c r="DR3" s="430" t="s">
        <v>446</v>
      </c>
      <c r="DS3" s="430" t="s">
        <v>446</v>
      </c>
      <c r="DT3" s="430" t="s">
        <v>446</v>
      </c>
      <c r="DU3" s="430" t="s">
        <v>446</v>
      </c>
      <c r="DV3" s="432" t="s">
        <v>254</v>
      </c>
      <c r="DW3" s="430" t="s">
        <v>446</v>
      </c>
      <c r="DX3" s="430" t="s">
        <v>446</v>
      </c>
      <c r="DY3" s="430" t="s">
        <v>446</v>
      </c>
      <c r="DZ3" s="430" t="s">
        <v>446</v>
      </c>
      <c r="EA3" s="430" t="s">
        <v>446</v>
      </c>
      <c r="EB3" s="432" t="s">
        <v>254</v>
      </c>
      <c r="EC3" s="430" t="s">
        <v>446</v>
      </c>
      <c r="ED3" s="430" t="s">
        <v>446</v>
      </c>
      <c r="EE3" s="430" t="s">
        <v>446</v>
      </c>
      <c r="EF3" s="430" t="s">
        <v>446</v>
      </c>
      <c r="EG3" s="430" t="s">
        <v>446</v>
      </c>
      <c r="EH3" s="430" t="s">
        <v>446</v>
      </c>
      <c r="EI3" s="430" t="s">
        <v>446</v>
      </c>
      <c r="EJ3" s="430" t="s">
        <v>446</v>
      </c>
      <c r="EK3" s="430" t="s">
        <v>446</v>
      </c>
      <c r="EL3" s="430" t="s">
        <v>446</v>
      </c>
      <c r="EM3" s="430" t="s">
        <v>446</v>
      </c>
      <c r="EN3" s="430" t="s">
        <v>446</v>
      </c>
      <c r="EO3" s="430" t="s">
        <v>446</v>
      </c>
      <c r="EP3" s="430" t="s">
        <v>446</v>
      </c>
      <c r="EQ3" s="432" t="s">
        <v>254</v>
      </c>
      <c r="ER3" s="430" t="s">
        <v>446</v>
      </c>
      <c r="ES3" s="430" t="s">
        <v>446</v>
      </c>
      <c r="ET3" s="430" t="s">
        <v>446</v>
      </c>
      <c r="EU3" s="430" t="s">
        <v>446</v>
      </c>
      <c r="EV3" s="430" t="s">
        <v>446</v>
      </c>
      <c r="EW3" s="430" t="s">
        <v>446</v>
      </c>
      <c r="EX3" s="430" t="s">
        <v>446</v>
      </c>
      <c r="EY3" s="430" t="s">
        <v>446</v>
      </c>
      <c r="EZ3" s="430" t="s">
        <v>446</v>
      </c>
      <c r="FA3" s="430" t="s">
        <v>446</v>
      </c>
      <c r="FB3" s="430" t="s">
        <v>446</v>
      </c>
      <c r="FC3" s="430" t="s">
        <v>446</v>
      </c>
      <c r="FD3" s="430" t="s">
        <v>446</v>
      </c>
      <c r="FE3" s="430" t="s">
        <v>446</v>
      </c>
      <c r="FF3" s="430" t="s">
        <v>446</v>
      </c>
      <c r="FG3" s="430" t="s">
        <v>446</v>
      </c>
      <c r="FH3" s="430" t="s">
        <v>446</v>
      </c>
      <c r="FI3" s="430" t="s">
        <v>446</v>
      </c>
      <c r="FJ3" s="430" t="s">
        <v>446</v>
      </c>
      <c r="FK3" s="430" t="s">
        <v>446</v>
      </c>
      <c r="FL3" s="430" t="s">
        <v>446</v>
      </c>
      <c r="FM3" s="430" t="s">
        <v>446</v>
      </c>
      <c r="FN3" s="430" t="s">
        <v>446</v>
      </c>
      <c r="FO3" s="430" t="s">
        <v>446</v>
      </c>
      <c r="FP3" s="430" t="s">
        <v>446</v>
      </c>
      <c r="FQ3" s="430" t="s">
        <v>446</v>
      </c>
      <c r="FR3" s="430" t="s">
        <v>446</v>
      </c>
      <c r="FS3" s="430" t="s">
        <v>446</v>
      </c>
      <c r="FT3" s="430" t="s">
        <v>446</v>
      </c>
      <c r="FU3" s="430" t="s">
        <v>446</v>
      </c>
      <c r="FV3" s="430" t="s">
        <v>446</v>
      </c>
      <c r="FW3" s="430" t="s">
        <v>446</v>
      </c>
      <c r="FX3" s="430" t="s">
        <v>446</v>
      </c>
      <c r="FY3" s="430" t="s">
        <v>446</v>
      </c>
      <c r="FZ3" s="430" t="s">
        <v>446</v>
      </c>
      <c r="GA3" s="430" t="s">
        <v>446</v>
      </c>
      <c r="GB3" s="430" t="s">
        <v>446</v>
      </c>
      <c r="GC3" s="430" t="s">
        <v>446</v>
      </c>
      <c r="GD3" s="430" t="s">
        <v>446</v>
      </c>
      <c r="GE3" s="430" t="s">
        <v>446</v>
      </c>
      <c r="GF3" s="430" t="s">
        <v>446</v>
      </c>
      <c r="GG3" s="430" t="s">
        <v>446</v>
      </c>
      <c r="GH3" s="430" t="s">
        <v>446</v>
      </c>
      <c r="GI3" s="430" t="s">
        <v>446</v>
      </c>
      <c r="GJ3" s="430" t="s">
        <v>446</v>
      </c>
      <c r="GK3" s="430" t="s">
        <v>446</v>
      </c>
      <c r="GL3" s="430" t="s">
        <v>446</v>
      </c>
      <c r="GM3" s="430" t="s">
        <v>446</v>
      </c>
      <c r="GN3" s="430" t="s">
        <v>446</v>
      </c>
      <c r="GO3" s="430" t="s">
        <v>446</v>
      </c>
      <c r="GP3" s="430" t="s">
        <v>446</v>
      </c>
      <c r="GQ3" s="430" t="s">
        <v>446</v>
      </c>
      <c r="GR3" s="430" t="s">
        <v>446</v>
      </c>
      <c r="GS3" s="430" t="s">
        <v>446</v>
      </c>
      <c r="GT3" s="430" t="s">
        <v>446</v>
      </c>
      <c r="GU3" s="430" t="s">
        <v>446</v>
      </c>
      <c r="GV3" s="430" t="s">
        <v>446</v>
      </c>
      <c r="GW3" s="430" t="s">
        <v>446</v>
      </c>
      <c r="GX3" s="430" t="s">
        <v>446</v>
      </c>
      <c r="GY3" s="430" t="s">
        <v>446</v>
      </c>
      <c r="GZ3" s="430" t="s">
        <v>446</v>
      </c>
      <c r="HA3" s="430" t="s">
        <v>446</v>
      </c>
      <c r="HB3" s="430" t="s">
        <v>446</v>
      </c>
      <c r="HC3" s="430" t="s">
        <v>446</v>
      </c>
      <c r="HD3" s="430" t="s">
        <v>446</v>
      </c>
      <c r="HE3" s="430" t="s">
        <v>446</v>
      </c>
      <c r="HF3" s="430" t="s">
        <v>446</v>
      </c>
      <c r="HG3" s="430" t="s">
        <v>446</v>
      </c>
      <c r="HH3" s="430" t="s">
        <v>446</v>
      </c>
      <c r="HI3" s="430" t="s">
        <v>446</v>
      </c>
      <c r="HJ3" s="430" t="s">
        <v>446</v>
      </c>
      <c r="HK3" s="430" t="s">
        <v>446</v>
      </c>
      <c r="HL3" s="430" t="s">
        <v>446</v>
      </c>
      <c r="HM3" s="430" t="s">
        <v>446</v>
      </c>
      <c r="HN3" s="430" t="s">
        <v>446</v>
      </c>
      <c r="HO3" s="430" t="s">
        <v>446</v>
      </c>
      <c r="HP3" s="430" t="s">
        <v>446</v>
      </c>
      <c r="HQ3" s="430" t="s">
        <v>446</v>
      </c>
      <c r="HR3" s="430" t="s">
        <v>446</v>
      </c>
      <c r="HS3" s="430" t="s">
        <v>446</v>
      </c>
      <c r="HT3" s="430" t="s">
        <v>446</v>
      </c>
      <c r="HU3" s="430" t="s">
        <v>446</v>
      </c>
      <c r="HV3" s="430" t="s">
        <v>446</v>
      </c>
      <c r="HW3" s="430" t="s">
        <v>446</v>
      </c>
      <c r="HX3" s="430" t="s">
        <v>446</v>
      </c>
      <c r="HY3" s="430" t="s">
        <v>446</v>
      </c>
      <c r="HZ3" s="430" t="s">
        <v>446</v>
      </c>
      <c r="IA3" s="430" t="s">
        <v>446</v>
      </c>
      <c r="IB3" s="430" t="s">
        <v>446</v>
      </c>
      <c r="IC3" s="430" t="s">
        <v>446</v>
      </c>
      <c r="ID3" s="430" t="s">
        <v>446</v>
      </c>
      <c r="IE3" s="430" t="s">
        <v>446</v>
      </c>
      <c r="IF3" s="430" t="s">
        <v>446</v>
      </c>
      <c r="IG3" s="430" t="s">
        <v>446</v>
      </c>
      <c r="IH3" s="430" t="s">
        <v>446</v>
      </c>
      <c r="II3" s="430" t="s">
        <v>446</v>
      </c>
      <c r="IJ3" s="430" t="s">
        <v>446</v>
      </c>
      <c r="IK3" s="430" t="s">
        <v>446</v>
      </c>
      <c r="IL3" s="430" t="s">
        <v>446</v>
      </c>
      <c r="IM3" s="430" t="s">
        <v>446</v>
      </c>
      <c r="IN3" s="430" t="s">
        <v>446</v>
      </c>
      <c r="IO3" s="430" t="s">
        <v>446</v>
      </c>
      <c r="IP3" s="430" t="s">
        <v>446</v>
      </c>
      <c r="IQ3" s="430" t="s">
        <v>446</v>
      </c>
      <c r="IR3" s="430" t="s">
        <v>446</v>
      </c>
      <c r="IS3" s="430" t="s">
        <v>446</v>
      </c>
      <c r="IT3" s="430" t="s">
        <v>446</v>
      </c>
      <c r="IU3" s="430" t="s">
        <v>446</v>
      </c>
      <c r="IV3" s="430" t="s">
        <v>446</v>
      </c>
      <c r="IW3" s="430" t="s">
        <v>446</v>
      </c>
      <c r="IX3" s="430" t="s">
        <v>446</v>
      </c>
      <c r="IY3" s="430" t="s">
        <v>446</v>
      </c>
      <c r="IZ3" s="430" t="s">
        <v>446</v>
      </c>
      <c r="JA3" s="430" t="s">
        <v>446</v>
      </c>
      <c r="JB3" s="430" t="s">
        <v>446</v>
      </c>
      <c r="JC3" s="430" t="s">
        <v>446</v>
      </c>
      <c r="JD3" s="430" t="s">
        <v>446</v>
      </c>
      <c r="JE3" s="430" t="s">
        <v>446</v>
      </c>
      <c r="JF3" s="430" t="s">
        <v>446</v>
      </c>
      <c r="JG3" s="430" t="s">
        <v>446</v>
      </c>
      <c r="JH3" s="430" t="s">
        <v>446</v>
      </c>
      <c r="JI3" s="430" t="s">
        <v>446</v>
      </c>
      <c r="JJ3" s="430" t="s">
        <v>446</v>
      </c>
      <c r="JK3" s="430" t="s">
        <v>446</v>
      </c>
      <c r="JL3" s="430" t="s">
        <v>446</v>
      </c>
      <c r="JM3" s="430" t="s">
        <v>446</v>
      </c>
      <c r="JN3" s="430" t="s">
        <v>446</v>
      </c>
      <c r="JO3" s="430" t="s">
        <v>446</v>
      </c>
      <c r="JP3" s="430" t="s">
        <v>446</v>
      </c>
      <c r="JQ3" s="430" t="s">
        <v>446</v>
      </c>
      <c r="JR3" s="430" t="s">
        <v>446</v>
      </c>
      <c r="JS3" s="430" t="s">
        <v>446</v>
      </c>
      <c r="JT3" s="430" t="s">
        <v>446</v>
      </c>
      <c r="JU3" s="430" t="s">
        <v>446</v>
      </c>
      <c r="JV3" s="430" t="s">
        <v>446</v>
      </c>
      <c r="JW3" s="430" t="s">
        <v>446</v>
      </c>
      <c r="JX3" s="430" t="s">
        <v>446</v>
      </c>
      <c r="JY3" s="430" t="s">
        <v>446</v>
      </c>
      <c r="JZ3" s="430" t="s">
        <v>446</v>
      </c>
      <c r="KA3" s="430" t="s">
        <v>446</v>
      </c>
      <c r="KB3" s="430" t="s">
        <v>446</v>
      </c>
      <c r="KC3" s="430" t="s">
        <v>446</v>
      </c>
      <c r="KD3" s="430" t="s">
        <v>446</v>
      </c>
      <c r="KE3" s="430" t="s">
        <v>446</v>
      </c>
      <c r="KF3" s="430" t="s">
        <v>446</v>
      </c>
      <c r="KG3" s="430" t="s">
        <v>446</v>
      </c>
      <c r="KH3" s="430" t="s">
        <v>446</v>
      </c>
      <c r="KI3" s="430" t="s">
        <v>446</v>
      </c>
      <c r="KJ3" s="430" t="s">
        <v>446</v>
      </c>
      <c r="KK3" s="430" t="s">
        <v>446</v>
      </c>
      <c r="KL3" s="430" t="s">
        <v>446</v>
      </c>
      <c r="KM3" s="430" t="s">
        <v>446</v>
      </c>
      <c r="KN3" s="430" t="s">
        <v>446</v>
      </c>
      <c r="KO3" s="430" t="s">
        <v>446</v>
      </c>
      <c r="KP3" s="430" t="s">
        <v>446</v>
      </c>
      <c r="KQ3" s="430" t="s">
        <v>446</v>
      </c>
      <c r="KR3" s="430" t="s">
        <v>446</v>
      </c>
      <c r="KS3" s="430" t="s">
        <v>446</v>
      </c>
      <c r="KT3" s="430" t="s">
        <v>446</v>
      </c>
      <c r="KU3" s="430" t="s">
        <v>446</v>
      </c>
      <c r="KV3" s="430" t="s">
        <v>446</v>
      </c>
      <c r="KW3" s="430" t="s">
        <v>446</v>
      </c>
      <c r="KX3" s="430" t="s">
        <v>446</v>
      </c>
      <c r="KY3" s="430" t="s">
        <v>446</v>
      </c>
      <c r="KZ3" s="430" t="s">
        <v>446</v>
      </c>
      <c r="LA3" s="430" t="s">
        <v>446</v>
      </c>
      <c r="LB3" s="430" t="s">
        <v>446</v>
      </c>
      <c r="LC3" s="430" t="s">
        <v>446</v>
      </c>
      <c r="LD3" s="430" t="s">
        <v>446</v>
      </c>
      <c r="LE3" s="430" t="s">
        <v>446</v>
      </c>
      <c r="LF3" s="430" t="s">
        <v>446</v>
      </c>
      <c r="LG3" s="430" t="s">
        <v>446</v>
      </c>
      <c r="LH3" s="430" t="s">
        <v>446</v>
      </c>
      <c r="LI3" s="430" t="s">
        <v>446</v>
      </c>
      <c r="LJ3" s="430" t="s">
        <v>446</v>
      </c>
      <c r="LK3" s="430" t="s">
        <v>446</v>
      </c>
      <c r="LL3" s="430" t="s">
        <v>446</v>
      </c>
      <c r="LM3" s="430" t="s">
        <v>446</v>
      </c>
      <c r="LN3" s="430" t="s">
        <v>446</v>
      </c>
      <c r="LO3" s="430" t="s">
        <v>446</v>
      </c>
      <c r="LP3" s="430" t="s">
        <v>446</v>
      </c>
      <c r="LQ3" s="430" t="s">
        <v>446</v>
      </c>
      <c r="LR3" s="430" t="s">
        <v>446</v>
      </c>
      <c r="LS3" s="430" t="s">
        <v>446</v>
      </c>
      <c r="LT3" s="430" t="s">
        <v>446</v>
      </c>
      <c r="LU3" s="430" t="s">
        <v>446</v>
      </c>
      <c r="LV3" s="430" t="s">
        <v>446</v>
      </c>
      <c r="LW3" s="430" t="s">
        <v>446</v>
      </c>
      <c r="LX3" s="430" t="s">
        <v>446</v>
      </c>
      <c r="LY3" s="430" t="s">
        <v>446</v>
      </c>
      <c r="LZ3" s="430" t="s">
        <v>446</v>
      </c>
      <c r="MA3" s="430" t="s">
        <v>446</v>
      </c>
      <c r="MB3" s="430" t="s">
        <v>446</v>
      </c>
      <c r="MC3" s="430" t="s">
        <v>446</v>
      </c>
      <c r="MD3" s="430" t="s">
        <v>446</v>
      </c>
      <c r="ME3" s="430" t="s">
        <v>446</v>
      </c>
      <c r="MF3" s="430" t="s">
        <v>446</v>
      </c>
      <c r="MG3" s="430" t="s">
        <v>446</v>
      </c>
      <c r="MH3" s="430" t="s">
        <v>446</v>
      </c>
      <c r="MI3" s="430" t="s">
        <v>446</v>
      </c>
      <c r="MJ3" s="430" t="s">
        <v>446</v>
      </c>
      <c r="MK3" s="430" t="s">
        <v>446</v>
      </c>
      <c r="ML3" s="430" t="s">
        <v>446</v>
      </c>
      <c r="MM3" s="430" t="s">
        <v>446</v>
      </c>
      <c r="MN3" s="430" t="s">
        <v>446</v>
      </c>
      <c r="MO3" s="430" t="s">
        <v>446</v>
      </c>
      <c r="MP3" s="430" t="s">
        <v>446</v>
      </c>
      <c r="MQ3" s="430" t="s">
        <v>446</v>
      </c>
      <c r="MR3" s="430" t="s">
        <v>446</v>
      </c>
      <c r="MS3" s="430" t="s">
        <v>446</v>
      </c>
      <c r="MT3" s="430" t="s">
        <v>446</v>
      </c>
      <c r="MU3" s="430" t="s">
        <v>446</v>
      </c>
      <c r="MV3" s="430" t="s">
        <v>446</v>
      </c>
      <c r="MW3" s="430" t="s">
        <v>446</v>
      </c>
      <c r="MX3" s="430" t="s">
        <v>446</v>
      </c>
      <c r="MY3" s="430" t="s">
        <v>446</v>
      </c>
      <c r="MZ3" s="430" t="s">
        <v>446</v>
      </c>
      <c r="NA3" s="430" t="s">
        <v>446</v>
      </c>
      <c r="NB3" s="430" t="s">
        <v>446</v>
      </c>
      <c r="NC3" s="430" t="s">
        <v>446</v>
      </c>
      <c r="ND3" s="430" t="s">
        <v>446</v>
      </c>
      <c r="NE3" s="430" t="s">
        <v>446</v>
      </c>
      <c r="NF3" s="430" t="s">
        <v>446</v>
      </c>
      <c r="NG3" s="430" t="s">
        <v>446</v>
      </c>
      <c r="NH3" s="430" t="s">
        <v>446</v>
      </c>
      <c r="NI3" s="430" t="s">
        <v>446</v>
      </c>
      <c r="NJ3" s="430" t="s">
        <v>446</v>
      </c>
      <c r="NK3" s="430" t="s">
        <v>446</v>
      </c>
      <c r="NL3" s="430" t="s">
        <v>446</v>
      </c>
      <c r="NM3" s="430" t="s">
        <v>446</v>
      </c>
      <c r="NN3" s="430" t="s">
        <v>446</v>
      </c>
      <c r="NO3" s="430" t="s">
        <v>446</v>
      </c>
      <c r="NP3" s="430" t="s">
        <v>446</v>
      </c>
      <c r="NQ3" s="430" t="s">
        <v>446</v>
      </c>
      <c r="NR3" s="430" t="s">
        <v>446</v>
      </c>
      <c r="NS3" s="430" t="s">
        <v>446</v>
      </c>
      <c r="NT3" s="430" t="s">
        <v>446</v>
      </c>
      <c r="NU3" s="430" t="s">
        <v>446</v>
      </c>
      <c r="NV3" s="430" t="s">
        <v>446</v>
      </c>
      <c r="NW3" s="430" t="s">
        <v>446</v>
      </c>
      <c r="NX3" s="430" t="s">
        <v>446</v>
      </c>
      <c r="NY3" s="430" t="s">
        <v>446</v>
      </c>
      <c r="NZ3" s="430" t="s">
        <v>446</v>
      </c>
      <c r="OA3" s="430" t="s">
        <v>446</v>
      </c>
      <c r="OB3" s="430" t="s">
        <v>446</v>
      </c>
      <c r="OC3" s="430" t="s">
        <v>446</v>
      </c>
      <c r="OD3" s="430" t="s">
        <v>446</v>
      </c>
      <c r="OE3" s="430" t="s">
        <v>446</v>
      </c>
      <c r="OF3" s="430" t="s">
        <v>446</v>
      </c>
      <c r="OG3" s="430" t="s">
        <v>446</v>
      </c>
      <c r="OH3" s="430" t="s">
        <v>446</v>
      </c>
      <c r="OI3" s="430" t="s">
        <v>446</v>
      </c>
      <c r="OJ3" s="430" t="s">
        <v>446</v>
      </c>
      <c r="OK3" s="430" t="s">
        <v>446</v>
      </c>
      <c r="OL3" s="430" t="s">
        <v>446</v>
      </c>
      <c r="OM3" s="430" t="s">
        <v>446</v>
      </c>
      <c r="ON3" s="430" t="s">
        <v>446</v>
      </c>
      <c r="OO3" s="430" t="s">
        <v>446</v>
      </c>
      <c r="OP3" s="430" t="s">
        <v>446</v>
      </c>
      <c r="OQ3" s="430" t="s">
        <v>446</v>
      </c>
      <c r="OR3" s="430" t="s">
        <v>446</v>
      </c>
      <c r="OS3" s="430" t="s">
        <v>446</v>
      </c>
      <c r="OT3" s="430" t="s">
        <v>446</v>
      </c>
      <c r="OU3" s="430" t="s">
        <v>446</v>
      </c>
      <c r="OV3" s="430" t="s">
        <v>446</v>
      </c>
      <c r="OW3" s="430" t="s">
        <v>446</v>
      </c>
      <c r="OX3" s="430" t="s">
        <v>446</v>
      </c>
      <c r="OY3" s="430" t="s">
        <v>446</v>
      </c>
      <c r="OZ3" s="430" t="s">
        <v>446</v>
      </c>
      <c r="PA3" s="430" t="s">
        <v>446</v>
      </c>
      <c r="PB3" s="430" t="s">
        <v>446</v>
      </c>
      <c r="PC3" s="430" t="s">
        <v>446</v>
      </c>
      <c r="PD3" s="430" t="s">
        <v>446</v>
      </c>
      <c r="PE3" s="430" t="s">
        <v>446</v>
      </c>
      <c r="PF3" s="430" t="s">
        <v>446</v>
      </c>
      <c r="PG3" s="430" t="s">
        <v>446</v>
      </c>
      <c r="PH3" s="430" t="s">
        <v>446</v>
      </c>
      <c r="PI3" s="430" t="s">
        <v>446</v>
      </c>
      <c r="PJ3" s="430" t="s">
        <v>446</v>
      </c>
      <c r="PK3" s="430" t="s">
        <v>446</v>
      </c>
      <c r="PL3" s="430" t="s">
        <v>446</v>
      </c>
      <c r="PM3" s="430" t="s">
        <v>446</v>
      </c>
      <c r="PN3" s="430" t="s">
        <v>446</v>
      </c>
      <c r="PO3" s="430" t="s">
        <v>446</v>
      </c>
      <c r="PP3" s="430" t="s">
        <v>446</v>
      </c>
      <c r="PQ3" s="430" t="s">
        <v>446</v>
      </c>
      <c r="PR3" s="430" t="s">
        <v>446</v>
      </c>
      <c r="PS3" s="430" t="s">
        <v>446</v>
      </c>
      <c r="PT3" s="430" t="s">
        <v>446</v>
      </c>
      <c r="PU3" s="430" t="s">
        <v>446</v>
      </c>
      <c r="PV3" s="430" t="s">
        <v>446</v>
      </c>
      <c r="PW3" s="430" t="s">
        <v>446</v>
      </c>
      <c r="PX3" s="430" t="s">
        <v>446</v>
      </c>
      <c r="PY3" s="430" t="s">
        <v>446</v>
      </c>
      <c r="PZ3" s="430" t="s">
        <v>446</v>
      </c>
      <c r="QA3" s="430" t="s">
        <v>446</v>
      </c>
      <c r="QB3" s="430" t="s">
        <v>446</v>
      </c>
      <c r="QC3" s="430" t="s">
        <v>446</v>
      </c>
      <c r="QD3" s="430" t="s">
        <v>446</v>
      </c>
      <c r="QE3" s="430" t="s">
        <v>446</v>
      </c>
      <c r="QF3" s="430" t="s">
        <v>446</v>
      </c>
      <c r="QG3" s="430" t="s">
        <v>446</v>
      </c>
      <c r="QH3" s="430" t="s">
        <v>446</v>
      </c>
      <c r="QI3" s="430" t="s">
        <v>446</v>
      </c>
      <c r="QJ3" s="430" t="s">
        <v>446</v>
      </c>
      <c r="QK3" s="430" t="s">
        <v>446</v>
      </c>
      <c r="QL3" s="430" t="s">
        <v>446</v>
      </c>
      <c r="QM3" s="430" t="s">
        <v>446</v>
      </c>
      <c r="QN3" s="430" t="s">
        <v>446</v>
      </c>
      <c r="QO3" s="442" t="s">
        <v>446</v>
      </c>
    </row>
    <row r="4" spans="1:457" ht="30" customHeight="1" x14ac:dyDescent="0.25">
      <c r="A4" s="431" t="str">
        <f>Salas!A3</f>
        <v>03 - Sala de Aula</v>
      </c>
      <c r="B4" s="429" t="s">
        <v>446</v>
      </c>
      <c r="C4" s="430" t="s">
        <v>446</v>
      </c>
      <c r="D4" s="430" t="s">
        <v>446</v>
      </c>
      <c r="E4" s="430" t="s">
        <v>446</v>
      </c>
      <c r="F4" s="430" t="s">
        <v>446</v>
      </c>
      <c r="G4" s="430" t="s">
        <v>446</v>
      </c>
      <c r="H4" s="430" t="s">
        <v>446</v>
      </c>
      <c r="I4" s="430" t="s">
        <v>446</v>
      </c>
      <c r="J4" s="430" t="s">
        <v>446</v>
      </c>
      <c r="K4" s="430" t="s">
        <v>446</v>
      </c>
      <c r="L4" s="430" t="s">
        <v>446</v>
      </c>
      <c r="M4" s="430" t="s">
        <v>446</v>
      </c>
      <c r="N4" s="430" t="s">
        <v>446</v>
      </c>
      <c r="O4" s="430" t="s">
        <v>446</v>
      </c>
      <c r="P4" s="430" t="s">
        <v>446</v>
      </c>
      <c r="Q4" s="430" t="s">
        <v>446</v>
      </c>
      <c r="R4" s="430" t="s">
        <v>446</v>
      </c>
      <c r="S4" s="430" t="s">
        <v>446</v>
      </c>
      <c r="T4" s="430" t="s">
        <v>446</v>
      </c>
      <c r="U4" s="430" t="s">
        <v>446</v>
      </c>
      <c r="V4" s="430" t="s">
        <v>446</v>
      </c>
      <c r="W4" s="430" t="s">
        <v>446</v>
      </c>
      <c r="X4" s="430" t="s">
        <v>446</v>
      </c>
      <c r="Y4" s="430" t="s">
        <v>446</v>
      </c>
      <c r="Z4" s="430" t="s">
        <v>446</v>
      </c>
      <c r="AA4" s="430" t="s">
        <v>446</v>
      </c>
      <c r="AB4" s="430" t="s">
        <v>446</v>
      </c>
      <c r="AC4" s="430" t="s">
        <v>446</v>
      </c>
      <c r="AD4" s="430" t="s">
        <v>446</v>
      </c>
      <c r="AE4" s="430" t="s">
        <v>446</v>
      </c>
      <c r="AF4" s="430" t="s">
        <v>446</v>
      </c>
      <c r="AG4" s="430" t="s">
        <v>446</v>
      </c>
      <c r="AH4" s="430" t="s">
        <v>446</v>
      </c>
      <c r="AI4" s="430" t="s">
        <v>446</v>
      </c>
      <c r="AJ4" s="430" t="s">
        <v>446</v>
      </c>
      <c r="AK4" s="430" t="s">
        <v>446</v>
      </c>
      <c r="AL4" s="430" t="s">
        <v>446</v>
      </c>
      <c r="AM4" s="430" t="s">
        <v>446</v>
      </c>
      <c r="AN4" s="430" t="s">
        <v>446</v>
      </c>
      <c r="AO4" s="430" t="s">
        <v>446</v>
      </c>
      <c r="AP4" s="430" t="s">
        <v>446</v>
      </c>
      <c r="AQ4" s="430" t="s">
        <v>446</v>
      </c>
      <c r="AR4" s="430" t="s">
        <v>446</v>
      </c>
      <c r="AS4" s="430" t="s">
        <v>446</v>
      </c>
      <c r="AT4" s="430" t="s">
        <v>446</v>
      </c>
      <c r="AU4" s="430" t="s">
        <v>446</v>
      </c>
      <c r="AV4" s="430" t="s">
        <v>446</v>
      </c>
      <c r="AW4" s="430" t="s">
        <v>446</v>
      </c>
      <c r="AX4" s="430" t="s">
        <v>446</v>
      </c>
      <c r="AY4" s="430" t="s">
        <v>446</v>
      </c>
      <c r="AZ4" s="430" t="s">
        <v>446</v>
      </c>
      <c r="BA4" s="430" t="s">
        <v>446</v>
      </c>
      <c r="BB4" s="430" t="s">
        <v>446</v>
      </c>
      <c r="BC4" s="430" t="s">
        <v>446</v>
      </c>
      <c r="BD4" s="430" t="s">
        <v>446</v>
      </c>
      <c r="BE4" s="430" t="s">
        <v>446</v>
      </c>
      <c r="BF4" s="430" t="s">
        <v>446</v>
      </c>
      <c r="BG4" s="430" t="s">
        <v>446</v>
      </c>
      <c r="BH4" s="430" t="s">
        <v>446</v>
      </c>
      <c r="BI4" s="430" t="s">
        <v>446</v>
      </c>
      <c r="BJ4" s="430" t="s">
        <v>446</v>
      </c>
      <c r="BK4" s="430" t="s">
        <v>446</v>
      </c>
      <c r="BL4" s="430" t="s">
        <v>446</v>
      </c>
      <c r="BM4" s="430" t="s">
        <v>446</v>
      </c>
      <c r="BN4" s="430" t="s">
        <v>446</v>
      </c>
      <c r="BO4" s="430" t="s">
        <v>446</v>
      </c>
      <c r="BP4" s="430" t="s">
        <v>446</v>
      </c>
      <c r="BQ4" s="432" t="s">
        <v>153</v>
      </c>
      <c r="BR4" s="430" t="s">
        <v>446</v>
      </c>
      <c r="BS4" s="430" t="s">
        <v>446</v>
      </c>
      <c r="BT4" s="430" t="s">
        <v>446</v>
      </c>
      <c r="BU4" s="430" t="s">
        <v>446</v>
      </c>
      <c r="BV4" s="430" t="s">
        <v>446</v>
      </c>
      <c r="BW4" s="430" t="s">
        <v>446</v>
      </c>
      <c r="BX4" s="430" t="s">
        <v>446</v>
      </c>
      <c r="BY4" s="430" t="s">
        <v>446</v>
      </c>
      <c r="BZ4" s="430" t="s">
        <v>446</v>
      </c>
      <c r="CA4" s="430" t="s">
        <v>446</v>
      </c>
      <c r="CB4" s="430" t="s">
        <v>446</v>
      </c>
      <c r="CC4" s="430" t="s">
        <v>446</v>
      </c>
      <c r="CD4" s="430" t="s">
        <v>446</v>
      </c>
      <c r="CE4" s="430" t="s">
        <v>446</v>
      </c>
      <c r="CF4" s="430" t="s">
        <v>446</v>
      </c>
      <c r="CG4" s="430" t="s">
        <v>446</v>
      </c>
      <c r="CH4" s="430" t="s">
        <v>446</v>
      </c>
      <c r="CI4" s="430" t="s">
        <v>446</v>
      </c>
      <c r="CJ4" s="430" t="s">
        <v>446</v>
      </c>
      <c r="CK4" s="430" t="s">
        <v>446</v>
      </c>
      <c r="CL4" s="432" t="s">
        <v>153</v>
      </c>
      <c r="CM4" s="430" t="s">
        <v>446</v>
      </c>
      <c r="CN4" s="430" t="s">
        <v>446</v>
      </c>
      <c r="CO4" s="430" t="s">
        <v>446</v>
      </c>
      <c r="CP4" s="430" t="s">
        <v>446</v>
      </c>
      <c r="CQ4" s="430" t="s">
        <v>446</v>
      </c>
      <c r="CR4" s="430" t="s">
        <v>446</v>
      </c>
      <c r="CS4" s="430" t="s">
        <v>446</v>
      </c>
      <c r="CT4" s="430" t="s">
        <v>446</v>
      </c>
      <c r="CU4" s="430" t="s">
        <v>446</v>
      </c>
      <c r="CV4" s="430" t="s">
        <v>446</v>
      </c>
      <c r="CW4" s="430" t="s">
        <v>446</v>
      </c>
      <c r="CX4" s="430" t="s">
        <v>446</v>
      </c>
      <c r="CY4" s="430" t="s">
        <v>446</v>
      </c>
      <c r="CZ4" s="430" t="s">
        <v>446</v>
      </c>
      <c r="DA4" s="430" t="s">
        <v>446</v>
      </c>
      <c r="DB4" s="430" t="s">
        <v>446</v>
      </c>
      <c r="DC4" s="430" t="s">
        <v>446</v>
      </c>
      <c r="DD4" s="430" t="s">
        <v>446</v>
      </c>
      <c r="DE4" s="430" t="s">
        <v>446</v>
      </c>
      <c r="DF4" s="430" t="s">
        <v>446</v>
      </c>
      <c r="DG4" s="432" t="s">
        <v>153</v>
      </c>
      <c r="DH4" s="430" t="s">
        <v>446</v>
      </c>
      <c r="DI4" s="430" t="s">
        <v>446</v>
      </c>
      <c r="DJ4" s="430" t="s">
        <v>446</v>
      </c>
      <c r="DK4" s="430" t="s">
        <v>446</v>
      </c>
      <c r="DL4" s="430" t="s">
        <v>446</v>
      </c>
      <c r="DM4" s="430" t="s">
        <v>446</v>
      </c>
      <c r="DN4" s="430" t="s">
        <v>446</v>
      </c>
      <c r="DO4" s="430" t="s">
        <v>446</v>
      </c>
      <c r="DP4" s="430" t="s">
        <v>446</v>
      </c>
      <c r="DQ4" s="430" t="s">
        <v>446</v>
      </c>
      <c r="DR4" s="430" t="s">
        <v>446</v>
      </c>
      <c r="DS4" s="430" t="s">
        <v>446</v>
      </c>
      <c r="DT4" s="430" t="s">
        <v>446</v>
      </c>
      <c r="DU4" s="430" t="s">
        <v>446</v>
      </c>
      <c r="DV4" s="430" t="s">
        <v>446</v>
      </c>
      <c r="DW4" s="430" t="s">
        <v>446</v>
      </c>
      <c r="DX4" s="430" t="s">
        <v>446</v>
      </c>
      <c r="DY4" s="430" t="s">
        <v>446</v>
      </c>
      <c r="DZ4" s="430" t="s">
        <v>446</v>
      </c>
      <c r="EA4" s="430" t="s">
        <v>446</v>
      </c>
      <c r="EB4" s="432" t="s">
        <v>153</v>
      </c>
      <c r="EC4" s="430" t="s">
        <v>446</v>
      </c>
      <c r="ED4" s="430" t="s">
        <v>446</v>
      </c>
      <c r="EE4" s="430" t="s">
        <v>446</v>
      </c>
      <c r="EF4" s="430" t="s">
        <v>446</v>
      </c>
      <c r="EG4" s="430" t="s">
        <v>446</v>
      </c>
      <c r="EH4" s="430" t="s">
        <v>446</v>
      </c>
      <c r="EI4" s="430" t="s">
        <v>446</v>
      </c>
      <c r="EJ4" s="430" t="s">
        <v>446</v>
      </c>
      <c r="EK4" s="430" t="s">
        <v>446</v>
      </c>
      <c r="EL4" s="430" t="s">
        <v>446</v>
      </c>
      <c r="EM4" s="430" t="s">
        <v>446</v>
      </c>
      <c r="EN4" s="430" t="s">
        <v>446</v>
      </c>
      <c r="EO4" s="430" t="s">
        <v>446</v>
      </c>
      <c r="EP4" s="430" t="s">
        <v>446</v>
      </c>
      <c r="EQ4" s="430" t="s">
        <v>446</v>
      </c>
      <c r="ER4" s="430" t="s">
        <v>446</v>
      </c>
      <c r="ES4" s="430" t="s">
        <v>446</v>
      </c>
      <c r="ET4" s="430" t="s">
        <v>446</v>
      </c>
      <c r="EU4" s="430" t="s">
        <v>446</v>
      </c>
      <c r="EV4" s="430" t="s">
        <v>446</v>
      </c>
      <c r="EW4" s="432" t="s">
        <v>153</v>
      </c>
      <c r="EX4" s="430" t="s">
        <v>446</v>
      </c>
      <c r="EY4" s="430" t="s">
        <v>446</v>
      </c>
      <c r="EZ4" s="430" t="s">
        <v>446</v>
      </c>
      <c r="FA4" s="430" t="s">
        <v>446</v>
      </c>
      <c r="FB4" s="430" t="s">
        <v>446</v>
      </c>
      <c r="FC4" s="430" t="s">
        <v>446</v>
      </c>
      <c r="FD4" s="430" t="s">
        <v>446</v>
      </c>
      <c r="FE4" s="430" t="s">
        <v>446</v>
      </c>
      <c r="FF4" s="430" t="s">
        <v>446</v>
      </c>
      <c r="FG4" s="430" t="s">
        <v>446</v>
      </c>
      <c r="FH4" s="430" t="s">
        <v>446</v>
      </c>
      <c r="FI4" s="430" t="s">
        <v>446</v>
      </c>
      <c r="FJ4" s="430" t="s">
        <v>446</v>
      </c>
      <c r="FK4" s="430" t="s">
        <v>446</v>
      </c>
      <c r="FL4" s="430" t="s">
        <v>446</v>
      </c>
      <c r="FM4" s="430" t="s">
        <v>446</v>
      </c>
      <c r="FN4" s="430" t="s">
        <v>446</v>
      </c>
      <c r="FO4" s="430" t="s">
        <v>446</v>
      </c>
      <c r="FP4" s="430" t="s">
        <v>446</v>
      </c>
      <c r="FQ4" s="430" t="s">
        <v>446</v>
      </c>
      <c r="FR4" s="432" t="s">
        <v>153</v>
      </c>
      <c r="FS4" s="430" t="s">
        <v>446</v>
      </c>
      <c r="FT4" s="430" t="s">
        <v>446</v>
      </c>
      <c r="FU4" s="430" t="s">
        <v>446</v>
      </c>
      <c r="FV4" s="430" t="s">
        <v>446</v>
      </c>
      <c r="FW4" s="430" t="s">
        <v>446</v>
      </c>
      <c r="FX4" s="430" t="s">
        <v>446</v>
      </c>
      <c r="FY4" s="430" t="s">
        <v>446</v>
      </c>
      <c r="FZ4" s="430" t="s">
        <v>446</v>
      </c>
      <c r="GA4" s="430" t="s">
        <v>446</v>
      </c>
      <c r="GB4" s="430" t="s">
        <v>446</v>
      </c>
      <c r="GC4" s="430" t="s">
        <v>446</v>
      </c>
      <c r="GD4" s="430" t="s">
        <v>446</v>
      </c>
      <c r="GE4" s="430" t="s">
        <v>446</v>
      </c>
      <c r="GF4" s="430" t="s">
        <v>446</v>
      </c>
      <c r="GG4" s="430" t="s">
        <v>446</v>
      </c>
      <c r="GH4" s="430" t="s">
        <v>446</v>
      </c>
      <c r="GI4" s="430" t="s">
        <v>446</v>
      </c>
      <c r="GJ4" s="430" t="s">
        <v>446</v>
      </c>
      <c r="GK4" s="430" t="s">
        <v>446</v>
      </c>
      <c r="GL4" s="430" t="s">
        <v>446</v>
      </c>
      <c r="GM4" s="432" t="s">
        <v>153</v>
      </c>
      <c r="GN4" s="430" t="s">
        <v>446</v>
      </c>
      <c r="GO4" s="430" t="s">
        <v>446</v>
      </c>
      <c r="GP4" s="430" t="s">
        <v>446</v>
      </c>
      <c r="GQ4" s="430" t="s">
        <v>446</v>
      </c>
      <c r="GR4" s="430" t="s">
        <v>446</v>
      </c>
      <c r="GS4" s="430" t="s">
        <v>446</v>
      </c>
      <c r="GT4" s="430" t="s">
        <v>446</v>
      </c>
      <c r="GU4" s="430" t="s">
        <v>446</v>
      </c>
      <c r="GV4" s="430" t="s">
        <v>446</v>
      </c>
      <c r="GW4" s="430" t="s">
        <v>446</v>
      </c>
      <c r="GX4" s="430" t="s">
        <v>446</v>
      </c>
      <c r="GY4" s="430" t="s">
        <v>446</v>
      </c>
      <c r="GZ4" s="430" t="s">
        <v>446</v>
      </c>
      <c r="HA4" s="430" t="s">
        <v>446</v>
      </c>
      <c r="HB4" s="430" t="s">
        <v>446</v>
      </c>
      <c r="HC4" s="430" t="s">
        <v>446</v>
      </c>
      <c r="HD4" s="430" t="s">
        <v>446</v>
      </c>
      <c r="HE4" s="430" t="s">
        <v>446</v>
      </c>
      <c r="HF4" s="430" t="s">
        <v>446</v>
      </c>
      <c r="HG4" s="430" t="s">
        <v>446</v>
      </c>
      <c r="HH4" s="432" t="s">
        <v>153</v>
      </c>
      <c r="HI4" s="430" t="s">
        <v>446</v>
      </c>
      <c r="HJ4" s="430" t="s">
        <v>446</v>
      </c>
      <c r="HK4" s="430" t="s">
        <v>446</v>
      </c>
      <c r="HL4" s="430" t="s">
        <v>446</v>
      </c>
      <c r="HM4" s="430" t="s">
        <v>446</v>
      </c>
      <c r="HN4" s="430" t="s">
        <v>446</v>
      </c>
      <c r="HO4" s="430" t="s">
        <v>446</v>
      </c>
      <c r="HP4" s="430" t="s">
        <v>446</v>
      </c>
      <c r="HQ4" s="430" t="s">
        <v>446</v>
      </c>
      <c r="HR4" s="430" t="s">
        <v>446</v>
      </c>
      <c r="HS4" s="430" t="s">
        <v>446</v>
      </c>
      <c r="HT4" s="430" t="s">
        <v>446</v>
      </c>
      <c r="HU4" s="430" t="s">
        <v>446</v>
      </c>
      <c r="HV4" s="430" t="s">
        <v>446</v>
      </c>
      <c r="HW4" s="430" t="s">
        <v>446</v>
      </c>
      <c r="HX4" s="430" t="s">
        <v>446</v>
      </c>
      <c r="HY4" s="430" t="s">
        <v>446</v>
      </c>
      <c r="HZ4" s="430" t="s">
        <v>446</v>
      </c>
      <c r="IA4" s="430" t="s">
        <v>446</v>
      </c>
      <c r="IB4" s="430" t="s">
        <v>446</v>
      </c>
      <c r="IC4" s="432" t="s">
        <v>153</v>
      </c>
      <c r="ID4" s="430" t="s">
        <v>446</v>
      </c>
      <c r="IE4" s="430" t="s">
        <v>446</v>
      </c>
      <c r="IF4" s="430" t="s">
        <v>446</v>
      </c>
      <c r="IG4" s="430" t="s">
        <v>446</v>
      </c>
      <c r="IH4" s="430" t="s">
        <v>446</v>
      </c>
      <c r="II4" s="430" t="s">
        <v>446</v>
      </c>
      <c r="IJ4" s="430" t="s">
        <v>446</v>
      </c>
      <c r="IK4" s="430" t="s">
        <v>446</v>
      </c>
      <c r="IL4" s="430" t="s">
        <v>446</v>
      </c>
      <c r="IM4" s="430" t="s">
        <v>446</v>
      </c>
      <c r="IN4" s="430" t="s">
        <v>446</v>
      </c>
      <c r="IO4" s="430" t="s">
        <v>446</v>
      </c>
      <c r="IP4" s="430" t="s">
        <v>446</v>
      </c>
      <c r="IQ4" s="430" t="s">
        <v>446</v>
      </c>
      <c r="IR4" s="430" t="s">
        <v>446</v>
      </c>
      <c r="IS4" s="430" t="s">
        <v>446</v>
      </c>
      <c r="IT4" s="430" t="s">
        <v>446</v>
      </c>
      <c r="IU4" s="430" t="s">
        <v>446</v>
      </c>
      <c r="IV4" s="430" t="s">
        <v>446</v>
      </c>
      <c r="IW4" s="430" t="s">
        <v>446</v>
      </c>
      <c r="IX4" s="432" t="s">
        <v>153</v>
      </c>
      <c r="IY4" s="430" t="s">
        <v>446</v>
      </c>
      <c r="IZ4" s="430" t="s">
        <v>446</v>
      </c>
      <c r="JA4" s="430" t="s">
        <v>446</v>
      </c>
      <c r="JB4" s="430" t="s">
        <v>446</v>
      </c>
      <c r="JC4" s="430" t="s">
        <v>446</v>
      </c>
      <c r="JD4" s="430" t="s">
        <v>446</v>
      </c>
      <c r="JE4" s="430" t="s">
        <v>446</v>
      </c>
      <c r="JF4" s="430" t="s">
        <v>446</v>
      </c>
      <c r="JG4" s="430" t="s">
        <v>446</v>
      </c>
      <c r="JH4" s="430" t="s">
        <v>446</v>
      </c>
      <c r="JI4" s="430" t="s">
        <v>446</v>
      </c>
      <c r="JJ4" s="430" t="s">
        <v>446</v>
      </c>
      <c r="JK4" s="430" t="s">
        <v>446</v>
      </c>
      <c r="JL4" s="430" t="s">
        <v>446</v>
      </c>
      <c r="JM4" s="430" t="s">
        <v>446</v>
      </c>
      <c r="JN4" s="430" t="s">
        <v>446</v>
      </c>
      <c r="JO4" s="430" t="s">
        <v>446</v>
      </c>
      <c r="JP4" s="430" t="s">
        <v>446</v>
      </c>
      <c r="JQ4" s="430" t="s">
        <v>446</v>
      </c>
      <c r="JR4" s="430" t="s">
        <v>446</v>
      </c>
      <c r="JS4" s="432" t="s">
        <v>153</v>
      </c>
      <c r="JT4" s="430" t="s">
        <v>446</v>
      </c>
      <c r="JU4" s="430" t="s">
        <v>446</v>
      </c>
      <c r="JV4" s="430" t="s">
        <v>446</v>
      </c>
      <c r="JW4" s="430" t="s">
        <v>446</v>
      </c>
      <c r="JX4" s="430" t="s">
        <v>446</v>
      </c>
      <c r="JY4" s="430" t="s">
        <v>446</v>
      </c>
      <c r="JZ4" s="430" t="s">
        <v>446</v>
      </c>
      <c r="KA4" s="430" t="s">
        <v>446</v>
      </c>
      <c r="KB4" s="430" t="s">
        <v>446</v>
      </c>
      <c r="KC4" s="430" t="s">
        <v>446</v>
      </c>
      <c r="KD4" s="430" t="s">
        <v>446</v>
      </c>
      <c r="KE4" s="430" t="s">
        <v>446</v>
      </c>
      <c r="KF4" s="430" t="s">
        <v>446</v>
      </c>
      <c r="KG4" s="430" t="s">
        <v>446</v>
      </c>
      <c r="KH4" s="430" t="s">
        <v>446</v>
      </c>
      <c r="KI4" s="430" t="s">
        <v>446</v>
      </c>
      <c r="KJ4" s="430" t="s">
        <v>446</v>
      </c>
      <c r="KK4" s="430" t="s">
        <v>446</v>
      </c>
      <c r="KL4" s="430" t="s">
        <v>446</v>
      </c>
      <c r="KM4" s="430" t="s">
        <v>446</v>
      </c>
      <c r="KN4" s="432" t="s">
        <v>153</v>
      </c>
      <c r="KO4" s="430" t="s">
        <v>446</v>
      </c>
      <c r="KP4" s="430" t="s">
        <v>446</v>
      </c>
      <c r="KQ4" s="430" t="s">
        <v>446</v>
      </c>
      <c r="KR4" s="430" t="s">
        <v>446</v>
      </c>
      <c r="KS4" s="430" t="s">
        <v>446</v>
      </c>
      <c r="KT4" s="430" t="s">
        <v>446</v>
      </c>
      <c r="KU4" s="430" t="s">
        <v>446</v>
      </c>
      <c r="KV4" s="430" t="s">
        <v>446</v>
      </c>
      <c r="KW4" s="430" t="s">
        <v>446</v>
      </c>
      <c r="KX4" s="430" t="s">
        <v>446</v>
      </c>
      <c r="KY4" s="430" t="s">
        <v>446</v>
      </c>
      <c r="KZ4" s="430" t="s">
        <v>446</v>
      </c>
      <c r="LA4" s="430" t="s">
        <v>446</v>
      </c>
      <c r="LB4" s="430" t="s">
        <v>446</v>
      </c>
      <c r="LC4" s="430" t="s">
        <v>446</v>
      </c>
      <c r="LD4" s="430" t="s">
        <v>446</v>
      </c>
      <c r="LE4" s="430" t="s">
        <v>446</v>
      </c>
      <c r="LF4" s="430" t="s">
        <v>446</v>
      </c>
      <c r="LG4" s="430" t="s">
        <v>446</v>
      </c>
      <c r="LH4" s="430" t="s">
        <v>446</v>
      </c>
      <c r="LI4" s="430" t="s">
        <v>446</v>
      </c>
      <c r="LJ4" s="430" t="s">
        <v>446</v>
      </c>
      <c r="LK4" s="430" t="s">
        <v>446</v>
      </c>
      <c r="LL4" s="430" t="s">
        <v>446</v>
      </c>
      <c r="LM4" s="430" t="s">
        <v>446</v>
      </c>
      <c r="LN4" s="430" t="s">
        <v>446</v>
      </c>
      <c r="LO4" s="430" t="s">
        <v>446</v>
      </c>
      <c r="LP4" s="430" t="s">
        <v>446</v>
      </c>
      <c r="LQ4" s="430" t="s">
        <v>446</v>
      </c>
      <c r="LR4" s="430" t="s">
        <v>446</v>
      </c>
      <c r="LS4" s="430" t="s">
        <v>446</v>
      </c>
      <c r="LT4" s="430" t="s">
        <v>446</v>
      </c>
      <c r="LU4" s="430" t="s">
        <v>446</v>
      </c>
      <c r="LV4" s="430" t="s">
        <v>446</v>
      </c>
      <c r="LW4" s="430" t="s">
        <v>446</v>
      </c>
      <c r="LX4" s="430" t="s">
        <v>446</v>
      </c>
      <c r="LY4" s="430" t="s">
        <v>446</v>
      </c>
      <c r="LZ4" s="430" t="s">
        <v>446</v>
      </c>
      <c r="MA4" s="430" t="s">
        <v>446</v>
      </c>
      <c r="MB4" s="430" t="s">
        <v>446</v>
      </c>
      <c r="MC4" s="430" t="s">
        <v>446</v>
      </c>
      <c r="MD4" s="430" t="s">
        <v>446</v>
      </c>
      <c r="ME4" s="430" t="s">
        <v>446</v>
      </c>
      <c r="MF4" s="430" t="s">
        <v>446</v>
      </c>
      <c r="MG4" s="430" t="s">
        <v>446</v>
      </c>
      <c r="MH4" s="430" t="s">
        <v>446</v>
      </c>
      <c r="MI4" s="430" t="s">
        <v>446</v>
      </c>
      <c r="MJ4" s="430" t="s">
        <v>446</v>
      </c>
      <c r="MK4" s="430" t="s">
        <v>446</v>
      </c>
      <c r="ML4" s="430" t="s">
        <v>446</v>
      </c>
      <c r="MM4" s="430" t="s">
        <v>446</v>
      </c>
      <c r="MN4" s="430" t="s">
        <v>446</v>
      </c>
      <c r="MO4" s="430" t="s">
        <v>446</v>
      </c>
      <c r="MP4" s="430" t="s">
        <v>446</v>
      </c>
      <c r="MQ4" s="430" t="s">
        <v>446</v>
      </c>
      <c r="MR4" s="430" t="s">
        <v>446</v>
      </c>
      <c r="MS4" s="430" t="s">
        <v>446</v>
      </c>
      <c r="MT4" s="430" t="s">
        <v>446</v>
      </c>
      <c r="MU4" s="430" t="s">
        <v>446</v>
      </c>
      <c r="MV4" s="430" t="s">
        <v>446</v>
      </c>
      <c r="MW4" s="430" t="s">
        <v>446</v>
      </c>
      <c r="MX4" s="430" t="s">
        <v>446</v>
      </c>
      <c r="MY4" s="430" t="s">
        <v>446</v>
      </c>
      <c r="MZ4" s="430" t="s">
        <v>446</v>
      </c>
      <c r="NA4" s="430" t="s">
        <v>446</v>
      </c>
      <c r="NB4" s="430" t="s">
        <v>446</v>
      </c>
      <c r="NC4" s="430" t="s">
        <v>446</v>
      </c>
      <c r="ND4" s="430" t="s">
        <v>446</v>
      </c>
      <c r="NE4" s="430" t="s">
        <v>446</v>
      </c>
      <c r="NF4" s="430" t="s">
        <v>446</v>
      </c>
      <c r="NG4" s="430" t="s">
        <v>446</v>
      </c>
      <c r="NH4" s="430" t="s">
        <v>446</v>
      </c>
      <c r="NI4" s="430" t="s">
        <v>446</v>
      </c>
      <c r="NJ4" s="430" t="s">
        <v>446</v>
      </c>
      <c r="NK4" s="430" t="s">
        <v>446</v>
      </c>
      <c r="NL4" s="430" t="s">
        <v>446</v>
      </c>
      <c r="NM4" s="430" t="s">
        <v>446</v>
      </c>
      <c r="NN4" s="430" t="s">
        <v>446</v>
      </c>
      <c r="NO4" s="430" t="s">
        <v>446</v>
      </c>
      <c r="NP4" s="430" t="s">
        <v>446</v>
      </c>
      <c r="NQ4" s="430" t="s">
        <v>446</v>
      </c>
      <c r="NR4" s="430" t="s">
        <v>446</v>
      </c>
      <c r="NS4" s="430" t="s">
        <v>446</v>
      </c>
      <c r="NT4" s="430" t="s">
        <v>446</v>
      </c>
      <c r="NU4" s="430" t="s">
        <v>446</v>
      </c>
      <c r="NV4" s="430" t="s">
        <v>446</v>
      </c>
      <c r="NW4" s="430" t="s">
        <v>446</v>
      </c>
      <c r="NX4" s="430" t="s">
        <v>446</v>
      </c>
      <c r="NY4" s="430" t="s">
        <v>446</v>
      </c>
      <c r="NZ4" s="430" t="s">
        <v>446</v>
      </c>
      <c r="OA4" s="430" t="s">
        <v>446</v>
      </c>
      <c r="OB4" s="430" t="s">
        <v>446</v>
      </c>
      <c r="OC4" s="430" t="s">
        <v>446</v>
      </c>
      <c r="OD4" s="430" t="s">
        <v>446</v>
      </c>
      <c r="OE4" s="430" t="s">
        <v>446</v>
      </c>
      <c r="OF4" s="430" t="s">
        <v>446</v>
      </c>
      <c r="OG4" s="430" t="s">
        <v>446</v>
      </c>
      <c r="OH4" s="430" t="s">
        <v>446</v>
      </c>
      <c r="OI4" s="430" t="s">
        <v>446</v>
      </c>
      <c r="OJ4" s="430" t="s">
        <v>446</v>
      </c>
      <c r="OK4" s="430" t="s">
        <v>446</v>
      </c>
      <c r="OL4" s="430" t="s">
        <v>446</v>
      </c>
      <c r="OM4" s="430" t="s">
        <v>446</v>
      </c>
      <c r="ON4" s="430" t="s">
        <v>446</v>
      </c>
      <c r="OO4" s="430" t="s">
        <v>446</v>
      </c>
      <c r="OP4" s="430" t="s">
        <v>446</v>
      </c>
      <c r="OQ4" s="430" t="s">
        <v>446</v>
      </c>
      <c r="OR4" s="430" t="s">
        <v>446</v>
      </c>
      <c r="OS4" s="430" t="s">
        <v>446</v>
      </c>
      <c r="OT4" s="430" t="s">
        <v>446</v>
      </c>
      <c r="OU4" s="430" t="s">
        <v>446</v>
      </c>
      <c r="OV4" s="430" t="s">
        <v>446</v>
      </c>
      <c r="OW4" s="430" t="s">
        <v>446</v>
      </c>
      <c r="OX4" s="430" t="s">
        <v>446</v>
      </c>
      <c r="OY4" s="430" t="s">
        <v>446</v>
      </c>
      <c r="OZ4" s="430" t="s">
        <v>446</v>
      </c>
      <c r="PA4" s="430" t="s">
        <v>446</v>
      </c>
      <c r="PB4" s="430" t="s">
        <v>446</v>
      </c>
      <c r="PC4" s="430" t="s">
        <v>446</v>
      </c>
      <c r="PD4" s="430" t="s">
        <v>446</v>
      </c>
      <c r="PE4" s="430" t="s">
        <v>446</v>
      </c>
      <c r="PF4" s="430" t="s">
        <v>446</v>
      </c>
      <c r="PG4" s="430" t="s">
        <v>446</v>
      </c>
      <c r="PH4" s="430" t="s">
        <v>446</v>
      </c>
      <c r="PI4" s="430" t="s">
        <v>446</v>
      </c>
      <c r="PJ4" s="430" t="s">
        <v>446</v>
      </c>
      <c r="PK4" s="430" t="s">
        <v>446</v>
      </c>
      <c r="PL4" s="430" t="s">
        <v>446</v>
      </c>
      <c r="PM4" s="430" t="s">
        <v>446</v>
      </c>
      <c r="PN4" s="430" t="s">
        <v>446</v>
      </c>
      <c r="PO4" s="430" t="s">
        <v>446</v>
      </c>
      <c r="PP4" s="430" t="s">
        <v>446</v>
      </c>
      <c r="PQ4" s="430" t="s">
        <v>446</v>
      </c>
      <c r="PR4" s="430" t="s">
        <v>446</v>
      </c>
      <c r="PS4" s="430" t="s">
        <v>446</v>
      </c>
      <c r="PT4" s="430" t="s">
        <v>446</v>
      </c>
      <c r="PU4" s="430" t="s">
        <v>446</v>
      </c>
      <c r="PV4" s="430" t="s">
        <v>446</v>
      </c>
      <c r="PW4" s="430" t="s">
        <v>446</v>
      </c>
      <c r="PX4" s="430" t="s">
        <v>446</v>
      </c>
      <c r="PY4" s="430" t="s">
        <v>446</v>
      </c>
      <c r="PZ4" s="430" t="s">
        <v>446</v>
      </c>
      <c r="QA4" s="430" t="s">
        <v>446</v>
      </c>
      <c r="QB4" s="430" t="s">
        <v>446</v>
      </c>
      <c r="QC4" s="430" t="s">
        <v>446</v>
      </c>
      <c r="QD4" s="430" t="s">
        <v>446</v>
      </c>
      <c r="QE4" s="430" t="s">
        <v>446</v>
      </c>
      <c r="QF4" s="430" t="s">
        <v>446</v>
      </c>
      <c r="QG4" s="430" t="s">
        <v>446</v>
      </c>
      <c r="QH4" s="430" t="s">
        <v>446</v>
      </c>
      <c r="QI4" s="430" t="s">
        <v>446</v>
      </c>
      <c r="QJ4" s="430" t="s">
        <v>446</v>
      </c>
      <c r="QK4" s="430" t="s">
        <v>446</v>
      </c>
      <c r="QL4" s="430" t="s">
        <v>446</v>
      </c>
      <c r="QM4" s="430" t="s">
        <v>446</v>
      </c>
      <c r="QN4" s="430" t="s">
        <v>446</v>
      </c>
      <c r="QO4" s="442" t="s">
        <v>446</v>
      </c>
    </row>
    <row r="5" spans="1:457" ht="30" customHeight="1" x14ac:dyDescent="0.25">
      <c r="A5" s="431" t="str">
        <f>Salas!A4</f>
        <v>04 - Sala de Aula</v>
      </c>
      <c r="B5" s="429" t="s">
        <v>446</v>
      </c>
      <c r="C5" s="432" t="s">
        <v>77</v>
      </c>
      <c r="D5" s="430" t="s">
        <v>446</v>
      </c>
      <c r="E5" s="430" t="s">
        <v>446</v>
      </c>
      <c r="F5" s="432" t="s">
        <v>254</v>
      </c>
      <c r="G5" s="430" t="s">
        <v>446</v>
      </c>
      <c r="H5" s="430" t="s">
        <v>446</v>
      </c>
      <c r="I5" s="432" t="s">
        <v>77</v>
      </c>
      <c r="J5" s="430" t="s">
        <v>446</v>
      </c>
      <c r="K5" s="430" t="s">
        <v>446</v>
      </c>
      <c r="L5" s="430" t="s">
        <v>446</v>
      </c>
      <c r="M5" s="430" t="s">
        <v>446</v>
      </c>
      <c r="N5" s="430" t="s">
        <v>446</v>
      </c>
      <c r="O5" s="430" t="s">
        <v>446</v>
      </c>
      <c r="P5" s="430" t="s">
        <v>446</v>
      </c>
      <c r="Q5" s="430" t="s">
        <v>446</v>
      </c>
      <c r="R5" s="430" t="s">
        <v>446</v>
      </c>
      <c r="S5" s="430" t="s">
        <v>446</v>
      </c>
      <c r="T5" s="430" t="s">
        <v>446</v>
      </c>
      <c r="U5" s="430" t="s">
        <v>446</v>
      </c>
      <c r="V5" s="430" t="s">
        <v>446</v>
      </c>
      <c r="W5" s="430" t="s">
        <v>446</v>
      </c>
      <c r="X5" s="432" t="s">
        <v>77</v>
      </c>
      <c r="Y5" s="430" t="s">
        <v>446</v>
      </c>
      <c r="Z5" s="430" t="s">
        <v>446</v>
      </c>
      <c r="AA5" s="432" t="s">
        <v>254</v>
      </c>
      <c r="AB5" s="430" t="s">
        <v>446</v>
      </c>
      <c r="AC5" s="430" t="s">
        <v>446</v>
      </c>
      <c r="AD5" s="432" t="s">
        <v>77</v>
      </c>
      <c r="AE5" s="430" t="s">
        <v>446</v>
      </c>
      <c r="AF5" s="430" t="s">
        <v>446</v>
      </c>
      <c r="AG5" s="430" t="s">
        <v>446</v>
      </c>
      <c r="AH5" s="430" t="s">
        <v>446</v>
      </c>
      <c r="AI5" s="430" t="s">
        <v>446</v>
      </c>
      <c r="AJ5" s="430" t="s">
        <v>446</v>
      </c>
      <c r="AK5" s="430" t="s">
        <v>446</v>
      </c>
      <c r="AL5" s="430" t="s">
        <v>446</v>
      </c>
      <c r="AM5" s="430" t="s">
        <v>446</v>
      </c>
      <c r="AN5" s="430" t="s">
        <v>446</v>
      </c>
      <c r="AO5" s="430" t="s">
        <v>446</v>
      </c>
      <c r="AP5" s="430" t="s">
        <v>446</v>
      </c>
      <c r="AQ5" s="430" t="s">
        <v>446</v>
      </c>
      <c r="AR5" s="430" t="s">
        <v>446</v>
      </c>
      <c r="AS5" s="432" t="s">
        <v>77</v>
      </c>
      <c r="AT5" s="430" t="s">
        <v>446</v>
      </c>
      <c r="AU5" s="430" t="s">
        <v>446</v>
      </c>
      <c r="AV5" s="432" t="s">
        <v>254</v>
      </c>
      <c r="AW5" s="430" t="s">
        <v>446</v>
      </c>
      <c r="AX5" s="430" t="s">
        <v>446</v>
      </c>
      <c r="AY5" s="432" t="s">
        <v>77</v>
      </c>
      <c r="AZ5" s="430" t="s">
        <v>446</v>
      </c>
      <c r="BA5" s="430" t="s">
        <v>446</v>
      </c>
      <c r="BB5" s="430" t="s">
        <v>446</v>
      </c>
      <c r="BC5" s="430" t="s">
        <v>446</v>
      </c>
      <c r="BD5" s="430" t="s">
        <v>446</v>
      </c>
      <c r="BE5" s="430" t="s">
        <v>446</v>
      </c>
      <c r="BF5" s="430" t="s">
        <v>446</v>
      </c>
      <c r="BG5" s="430" t="s">
        <v>446</v>
      </c>
      <c r="BH5" s="430" t="s">
        <v>446</v>
      </c>
      <c r="BI5" s="430" t="s">
        <v>446</v>
      </c>
      <c r="BJ5" s="430" t="s">
        <v>446</v>
      </c>
      <c r="BK5" s="430" t="s">
        <v>446</v>
      </c>
      <c r="BL5" s="430" t="s">
        <v>446</v>
      </c>
      <c r="BM5" s="430" t="s">
        <v>446</v>
      </c>
      <c r="BN5" s="432" t="s">
        <v>77</v>
      </c>
      <c r="BO5" s="430" t="s">
        <v>446</v>
      </c>
      <c r="BP5" s="430" t="s">
        <v>446</v>
      </c>
      <c r="BQ5" s="432" t="s">
        <v>254</v>
      </c>
      <c r="BR5" s="430" t="s">
        <v>446</v>
      </c>
      <c r="BS5" s="430" t="s">
        <v>446</v>
      </c>
      <c r="BT5" s="432" t="s">
        <v>77</v>
      </c>
      <c r="BU5" s="430" t="s">
        <v>446</v>
      </c>
      <c r="BV5" s="430" t="s">
        <v>446</v>
      </c>
      <c r="BW5" s="430" t="s">
        <v>446</v>
      </c>
      <c r="BX5" s="430" t="s">
        <v>446</v>
      </c>
      <c r="BY5" s="430" t="s">
        <v>446</v>
      </c>
      <c r="BZ5" s="430" t="s">
        <v>446</v>
      </c>
      <c r="CA5" s="430" t="s">
        <v>446</v>
      </c>
      <c r="CB5" s="430" t="s">
        <v>446</v>
      </c>
      <c r="CC5" s="430" t="s">
        <v>446</v>
      </c>
      <c r="CD5" s="430" t="s">
        <v>446</v>
      </c>
      <c r="CE5" s="430" t="s">
        <v>446</v>
      </c>
      <c r="CF5" s="430" t="s">
        <v>446</v>
      </c>
      <c r="CG5" s="430" t="s">
        <v>446</v>
      </c>
      <c r="CH5" s="430" t="s">
        <v>446</v>
      </c>
      <c r="CI5" s="432" t="s">
        <v>77</v>
      </c>
      <c r="CJ5" s="430" t="s">
        <v>446</v>
      </c>
      <c r="CK5" s="430" t="s">
        <v>446</v>
      </c>
      <c r="CL5" s="432" t="s">
        <v>254</v>
      </c>
      <c r="CM5" s="430" t="s">
        <v>446</v>
      </c>
      <c r="CN5" s="430" t="s">
        <v>446</v>
      </c>
      <c r="CO5" s="432" t="s">
        <v>77</v>
      </c>
      <c r="CP5" s="430" t="s">
        <v>446</v>
      </c>
      <c r="CQ5" s="430" t="s">
        <v>446</v>
      </c>
      <c r="CR5" s="430" t="s">
        <v>446</v>
      </c>
      <c r="CS5" s="430" t="s">
        <v>446</v>
      </c>
      <c r="CT5" s="430" t="s">
        <v>446</v>
      </c>
      <c r="CU5" s="430" t="s">
        <v>446</v>
      </c>
      <c r="CV5" s="430" t="s">
        <v>446</v>
      </c>
      <c r="CW5" s="430" t="s">
        <v>446</v>
      </c>
      <c r="CX5" s="430" t="s">
        <v>446</v>
      </c>
      <c r="CY5" s="430" t="s">
        <v>446</v>
      </c>
      <c r="CZ5" s="430" t="s">
        <v>446</v>
      </c>
      <c r="DA5" s="430" t="s">
        <v>446</v>
      </c>
      <c r="DB5" s="430" t="s">
        <v>446</v>
      </c>
      <c r="DC5" s="430" t="s">
        <v>446</v>
      </c>
      <c r="DD5" s="432" t="s">
        <v>77</v>
      </c>
      <c r="DE5" s="430" t="s">
        <v>446</v>
      </c>
      <c r="DF5" s="430" t="s">
        <v>446</v>
      </c>
      <c r="DG5" s="432" t="s">
        <v>254</v>
      </c>
      <c r="DH5" s="430" t="s">
        <v>446</v>
      </c>
      <c r="DI5" s="430" t="s">
        <v>446</v>
      </c>
      <c r="DJ5" s="432" t="s">
        <v>77</v>
      </c>
      <c r="DK5" s="430" t="s">
        <v>446</v>
      </c>
      <c r="DL5" s="430" t="s">
        <v>446</v>
      </c>
      <c r="DM5" s="430" t="s">
        <v>446</v>
      </c>
      <c r="DN5" s="430" t="s">
        <v>446</v>
      </c>
      <c r="DO5" s="430" t="s">
        <v>446</v>
      </c>
      <c r="DP5" s="430" t="s">
        <v>446</v>
      </c>
      <c r="DQ5" s="430" t="s">
        <v>446</v>
      </c>
      <c r="DR5" s="430" t="s">
        <v>446</v>
      </c>
      <c r="DS5" s="430" t="s">
        <v>446</v>
      </c>
      <c r="DT5" s="430" t="s">
        <v>446</v>
      </c>
      <c r="DU5" s="430" t="s">
        <v>446</v>
      </c>
      <c r="DV5" s="430" t="s">
        <v>446</v>
      </c>
      <c r="DW5" s="430" t="s">
        <v>446</v>
      </c>
      <c r="DX5" s="430" t="s">
        <v>446</v>
      </c>
      <c r="DY5" s="432" t="s">
        <v>77</v>
      </c>
      <c r="DZ5" s="430" t="s">
        <v>446</v>
      </c>
      <c r="EA5" s="430" t="s">
        <v>446</v>
      </c>
      <c r="EB5" s="430" t="s">
        <v>446</v>
      </c>
      <c r="EC5" s="430" t="s">
        <v>446</v>
      </c>
      <c r="ED5" s="430" t="s">
        <v>446</v>
      </c>
      <c r="EE5" s="432" t="s">
        <v>77</v>
      </c>
      <c r="EF5" s="430" t="s">
        <v>446</v>
      </c>
      <c r="EG5" s="430" t="s">
        <v>446</v>
      </c>
      <c r="EH5" s="430" t="s">
        <v>446</v>
      </c>
      <c r="EI5" s="430" t="s">
        <v>446</v>
      </c>
      <c r="EJ5" s="430" t="s">
        <v>446</v>
      </c>
      <c r="EK5" s="430" t="s">
        <v>446</v>
      </c>
      <c r="EL5" s="430" t="s">
        <v>446</v>
      </c>
      <c r="EM5" s="430" t="s">
        <v>446</v>
      </c>
      <c r="EN5" s="430" t="s">
        <v>446</v>
      </c>
      <c r="EO5" s="430" t="s">
        <v>446</v>
      </c>
      <c r="EP5" s="430" t="s">
        <v>446</v>
      </c>
      <c r="EQ5" s="430" t="s">
        <v>446</v>
      </c>
      <c r="ER5" s="430" t="s">
        <v>446</v>
      </c>
      <c r="ES5" s="430" t="s">
        <v>446</v>
      </c>
      <c r="ET5" s="432" t="s">
        <v>77</v>
      </c>
      <c r="EU5" s="430" t="s">
        <v>446</v>
      </c>
      <c r="EV5" s="430" t="s">
        <v>446</v>
      </c>
      <c r="EW5" s="430" t="s">
        <v>446</v>
      </c>
      <c r="EX5" s="430" t="s">
        <v>446</v>
      </c>
      <c r="EY5" s="430" t="s">
        <v>446</v>
      </c>
      <c r="EZ5" s="432" t="s">
        <v>77</v>
      </c>
      <c r="FA5" s="430" t="s">
        <v>446</v>
      </c>
      <c r="FB5" s="430" t="s">
        <v>446</v>
      </c>
      <c r="FC5" s="430" t="s">
        <v>446</v>
      </c>
      <c r="FD5" s="430" t="s">
        <v>446</v>
      </c>
      <c r="FE5" s="430" t="s">
        <v>446</v>
      </c>
      <c r="FF5" s="430" t="s">
        <v>446</v>
      </c>
      <c r="FG5" s="430" t="s">
        <v>446</v>
      </c>
      <c r="FH5" s="430" t="s">
        <v>446</v>
      </c>
      <c r="FI5" s="430" t="s">
        <v>446</v>
      </c>
      <c r="FJ5" s="430" t="s">
        <v>446</v>
      </c>
      <c r="FK5" s="430" t="s">
        <v>446</v>
      </c>
      <c r="FL5" s="430" t="s">
        <v>446</v>
      </c>
      <c r="FM5" s="430" t="s">
        <v>446</v>
      </c>
      <c r="FN5" s="430" t="s">
        <v>446</v>
      </c>
      <c r="FO5" s="432" t="s">
        <v>77</v>
      </c>
      <c r="FP5" s="430" t="s">
        <v>446</v>
      </c>
      <c r="FQ5" s="430" t="s">
        <v>446</v>
      </c>
      <c r="FR5" s="430" t="s">
        <v>446</v>
      </c>
      <c r="FS5" s="430" t="s">
        <v>446</v>
      </c>
      <c r="FT5" s="430" t="s">
        <v>446</v>
      </c>
      <c r="FU5" s="432" t="s">
        <v>77</v>
      </c>
      <c r="FV5" s="430" t="s">
        <v>446</v>
      </c>
      <c r="FW5" s="430" t="s">
        <v>446</v>
      </c>
      <c r="FX5" s="430" t="s">
        <v>446</v>
      </c>
      <c r="FY5" s="430" t="s">
        <v>446</v>
      </c>
      <c r="FZ5" s="430" t="s">
        <v>446</v>
      </c>
      <c r="GA5" s="430" t="s">
        <v>446</v>
      </c>
      <c r="GB5" s="430" t="s">
        <v>446</v>
      </c>
      <c r="GC5" s="430" t="s">
        <v>446</v>
      </c>
      <c r="GD5" s="430" t="s">
        <v>446</v>
      </c>
      <c r="GE5" s="430" t="s">
        <v>446</v>
      </c>
      <c r="GF5" s="430" t="s">
        <v>446</v>
      </c>
      <c r="GG5" s="430" t="s">
        <v>446</v>
      </c>
      <c r="GH5" s="430" t="s">
        <v>446</v>
      </c>
      <c r="GI5" s="430" t="s">
        <v>446</v>
      </c>
      <c r="GJ5" s="432" t="s">
        <v>77</v>
      </c>
      <c r="GK5" s="430" t="s">
        <v>446</v>
      </c>
      <c r="GL5" s="430" t="s">
        <v>446</v>
      </c>
      <c r="GM5" s="430" t="s">
        <v>446</v>
      </c>
      <c r="GN5" s="430" t="s">
        <v>446</v>
      </c>
      <c r="GO5" s="430" t="s">
        <v>446</v>
      </c>
      <c r="GP5" s="432" t="s">
        <v>77</v>
      </c>
      <c r="GQ5" s="430" t="s">
        <v>446</v>
      </c>
      <c r="GR5" s="430" t="s">
        <v>446</v>
      </c>
      <c r="GS5" s="430" t="s">
        <v>446</v>
      </c>
      <c r="GT5" s="430" t="s">
        <v>446</v>
      </c>
      <c r="GU5" s="430" t="s">
        <v>446</v>
      </c>
      <c r="GV5" s="430" t="s">
        <v>446</v>
      </c>
      <c r="GW5" s="430" t="s">
        <v>446</v>
      </c>
      <c r="GX5" s="430" t="s">
        <v>446</v>
      </c>
      <c r="GY5" s="430" t="s">
        <v>446</v>
      </c>
      <c r="GZ5" s="430" t="s">
        <v>446</v>
      </c>
      <c r="HA5" s="430" t="s">
        <v>446</v>
      </c>
      <c r="HB5" s="430" t="s">
        <v>446</v>
      </c>
      <c r="HC5" s="430" t="s">
        <v>446</v>
      </c>
      <c r="HD5" s="430" t="s">
        <v>446</v>
      </c>
      <c r="HE5" s="432" t="s">
        <v>77</v>
      </c>
      <c r="HF5" s="430" t="s">
        <v>446</v>
      </c>
      <c r="HG5" s="430" t="s">
        <v>446</v>
      </c>
      <c r="HH5" s="430" t="s">
        <v>446</v>
      </c>
      <c r="HI5" s="430" t="s">
        <v>446</v>
      </c>
      <c r="HJ5" s="430" t="s">
        <v>446</v>
      </c>
      <c r="HK5" s="432" t="s">
        <v>77</v>
      </c>
      <c r="HL5" s="430" t="s">
        <v>446</v>
      </c>
      <c r="HM5" s="430" t="s">
        <v>446</v>
      </c>
      <c r="HN5" s="430" t="s">
        <v>446</v>
      </c>
      <c r="HO5" s="430" t="s">
        <v>446</v>
      </c>
      <c r="HP5" s="430" t="s">
        <v>446</v>
      </c>
      <c r="HQ5" s="430" t="s">
        <v>446</v>
      </c>
      <c r="HR5" s="430" t="s">
        <v>446</v>
      </c>
      <c r="HS5" s="430" t="s">
        <v>446</v>
      </c>
      <c r="HT5" s="430" t="s">
        <v>446</v>
      </c>
      <c r="HU5" s="430" t="s">
        <v>446</v>
      </c>
      <c r="HV5" s="430" t="s">
        <v>446</v>
      </c>
      <c r="HW5" s="430" t="s">
        <v>446</v>
      </c>
      <c r="HX5" s="430" t="s">
        <v>446</v>
      </c>
      <c r="HY5" s="430" t="s">
        <v>446</v>
      </c>
      <c r="HZ5" s="432" t="s">
        <v>77</v>
      </c>
      <c r="IA5" s="430" t="s">
        <v>446</v>
      </c>
      <c r="IB5" s="430" t="s">
        <v>446</v>
      </c>
      <c r="IC5" s="430" t="s">
        <v>446</v>
      </c>
      <c r="ID5" s="430" t="s">
        <v>446</v>
      </c>
      <c r="IE5" s="430" t="s">
        <v>446</v>
      </c>
      <c r="IF5" s="432" t="s">
        <v>77</v>
      </c>
      <c r="IG5" s="430" t="s">
        <v>446</v>
      </c>
      <c r="IH5" s="430" t="s">
        <v>446</v>
      </c>
      <c r="II5" s="430" t="s">
        <v>446</v>
      </c>
      <c r="IJ5" s="430" t="s">
        <v>446</v>
      </c>
      <c r="IK5" s="430" t="s">
        <v>446</v>
      </c>
      <c r="IL5" s="430" t="s">
        <v>446</v>
      </c>
      <c r="IM5" s="430" t="s">
        <v>446</v>
      </c>
      <c r="IN5" s="430" t="s">
        <v>446</v>
      </c>
      <c r="IO5" s="430" t="s">
        <v>446</v>
      </c>
      <c r="IP5" s="430" t="s">
        <v>446</v>
      </c>
      <c r="IQ5" s="430" t="s">
        <v>446</v>
      </c>
      <c r="IR5" s="430" t="s">
        <v>446</v>
      </c>
      <c r="IS5" s="430" t="s">
        <v>446</v>
      </c>
      <c r="IT5" s="430" t="s">
        <v>446</v>
      </c>
      <c r="IU5" s="432" t="s">
        <v>77</v>
      </c>
      <c r="IV5" s="430" t="s">
        <v>446</v>
      </c>
      <c r="IW5" s="430" t="s">
        <v>446</v>
      </c>
      <c r="IX5" s="430" t="s">
        <v>446</v>
      </c>
      <c r="IY5" s="430" t="s">
        <v>446</v>
      </c>
      <c r="IZ5" s="430" t="s">
        <v>446</v>
      </c>
      <c r="JA5" s="432" t="s">
        <v>77</v>
      </c>
      <c r="JB5" s="430" t="s">
        <v>446</v>
      </c>
      <c r="JC5" s="430" t="s">
        <v>446</v>
      </c>
      <c r="JD5" s="430" t="s">
        <v>446</v>
      </c>
      <c r="JE5" s="430" t="s">
        <v>446</v>
      </c>
      <c r="JF5" s="430" t="s">
        <v>446</v>
      </c>
      <c r="JG5" s="430" t="s">
        <v>446</v>
      </c>
      <c r="JH5" s="430" t="s">
        <v>446</v>
      </c>
      <c r="JI5" s="430" t="s">
        <v>446</v>
      </c>
      <c r="JJ5" s="430" t="s">
        <v>446</v>
      </c>
      <c r="JK5" s="430" t="s">
        <v>446</v>
      </c>
      <c r="JL5" s="430" t="s">
        <v>446</v>
      </c>
      <c r="JM5" s="430" t="s">
        <v>446</v>
      </c>
      <c r="JN5" s="430" t="s">
        <v>446</v>
      </c>
      <c r="JO5" s="430" t="s">
        <v>446</v>
      </c>
      <c r="JP5" s="432" t="s">
        <v>77</v>
      </c>
      <c r="JQ5" s="430" t="s">
        <v>446</v>
      </c>
      <c r="JR5" s="430" t="s">
        <v>446</v>
      </c>
      <c r="JS5" s="430" t="s">
        <v>446</v>
      </c>
      <c r="JT5" s="430" t="s">
        <v>446</v>
      </c>
      <c r="JU5" s="430" t="s">
        <v>446</v>
      </c>
      <c r="JV5" s="432" t="s">
        <v>77</v>
      </c>
      <c r="JW5" s="430" t="s">
        <v>446</v>
      </c>
      <c r="JX5" s="430" t="s">
        <v>446</v>
      </c>
      <c r="JY5" s="430" t="s">
        <v>446</v>
      </c>
      <c r="JZ5" s="430" t="s">
        <v>446</v>
      </c>
      <c r="KA5" s="430" t="s">
        <v>446</v>
      </c>
      <c r="KB5" s="430" t="s">
        <v>446</v>
      </c>
      <c r="KC5" s="430" t="s">
        <v>446</v>
      </c>
      <c r="KD5" s="430" t="s">
        <v>446</v>
      </c>
      <c r="KE5" s="430" t="s">
        <v>446</v>
      </c>
      <c r="KF5" s="430" t="s">
        <v>446</v>
      </c>
      <c r="KG5" s="430" t="s">
        <v>446</v>
      </c>
      <c r="KH5" s="430" t="s">
        <v>446</v>
      </c>
      <c r="KI5" s="430" t="s">
        <v>446</v>
      </c>
      <c r="KJ5" s="430" t="s">
        <v>446</v>
      </c>
      <c r="KK5" s="432" t="s">
        <v>77</v>
      </c>
      <c r="KL5" s="430" t="s">
        <v>446</v>
      </c>
      <c r="KM5" s="430" t="s">
        <v>446</v>
      </c>
      <c r="KN5" s="430" t="s">
        <v>446</v>
      </c>
      <c r="KO5" s="430" t="s">
        <v>446</v>
      </c>
      <c r="KP5" s="430" t="s">
        <v>446</v>
      </c>
      <c r="KQ5" s="432" t="s">
        <v>77</v>
      </c>
      <c r="KR5" s="430" t="s">
        <v>446</v>
      </c>
      <c r="KS5" s="430" t="s">
        <v>446</v>
      </c>
      <c r="KT5" s="430" t="s">
        <v>446</v>
      </c>
      <c r="KU5" s="430" t="s">
        <v>446</v>
      </c>
      <c r="KV5" s="430" t="s">
        <v>446</v>
      </c>
      <c r="KW5" s="430" t="s">
        <v>446</v>
      </c>
      <c r="KX5" s="430" t="s">
        <v>446</v>
      </c>
      <c r="KY5" s="430" t="s">
        <v>446</v>
      </c>
      <c r="KZ5" s="430" t="s">
        <v>446</v>
      </c>
      <c r="LA5" s="430" t="s">
        <v>446</v>
      </c>
      <c r="LB5" s="430" t="s">
        <v>446</v>
      </c>
      <c r="LC5" s="430" t="s">
        <v>446</v>
      </c>
      <c r="LD5" s="430" t="s">
        <v>446</v>
      </c>
      <c r="LE5" s="430" t="s">
        <v>446</v>
      </c>
      <c r="LF5" s="432" t="s">
        <v>77</v>
      </c>
      <c r="LG5" s="430" t="s">
        <v>446</v>
      </c>
      <c r="LH5" s="430" t="s">
        <v>446</v>
      </c>
      <c r="LI5" s="430" t="s">
        <v>446</v>
      </c>
      <c r="LJ5" s="430" t="s">
        <v>446</v>
      </c>
      <c r="LK5" s="430" t="s">
        <v>446</v>
      </c>
      <c r="LL5" s="432" t="s">
        <v>77</v>
      </c>
      <c r="LM5" s="430" t="s">
        <v>446</v>
      </c>
      <c r="LN5" s="430" t="s">
        <v>446</v>
      </c>
      <c r="LO5" s="430" t="s">
        <v>446</v>
      </c>
      <c r="LP5" s="430" t="s">
        <v>446</v>
      </c>
      <c r="LQ5" s="430" t="s">
        <v>446</v>
      </c>
      <c r="LR5" s="430" t="s">
        <v>446</v>
      </c>
      <c r="LS5" s="430" t="s">
        <v>446</v>
      </c>
      <c r="LT5" s="430" t="s">
        <v>446</v>
      </c>
      <c r="LU5" s="430" t="s">
        <v>446</v>
      </c>
      <c r="LV5" s="430" t="s">
        <v>446</v>
      </c>
      <c r="LW5" s="430" t="s">
        <v>446</v>
      </c>
      <c r="LX5" s="430" t="s">
        <v>446</v>
      </c>
      <c r="LY5" s="430" t="s">
        <v>446</v>
      </c>
      <c r="LZ5" s="430" t="s">
        <v>446</v>
      </c>
      <c r="MA5" s="432" t="s">
        <v>77</v>
      </c>
      <c r="MB5" s="430" t="s">
        <v>446</v>
      </c>
      <c r="MC5" s="430" t="s">
        <v>446</v>
      </c>
      <c r="MD5" s="430" t="s">
        <v>446</v>
      </c>
      <c r="ME5" s="430" t="s">
        <v>446</v>
      </c>
      <c r="MF5" s="430" t="s">
        <v>446</v>
      </c>
      <c r="MG5" s="432" t="s">
        <v>77</v>
      </c>
      <c r="MH5" s="430" t="s">
        <v>446</v>
      </c>
      <c r="MI5" s="430" t="s">
        <v>446</v>
      </c>
      <c r="MJ5" s="430" t="s">
        <v>446</v>
      </c>
      <c r="MK5" s="430" t="s">
        <v>446</v>
      </c>
      <c r="ML5" s="430" t="s">
        <v>446</v>
      </c>
      <c r="MM5" s="430" t="s">
        <v>446</v>
      </c>
      <c r="MN5" s="430" t="s">
        <v>446</v>
      </c>
      <c r="MO5" s="430" t="s">
        <v>446</v>
      </c>
      <c r="MP5" s="430" t="s">
        <v>446</v>
      </c>
      <c r="MQ5" s="430" t="s">
        <v>446</v>
      </c>
      <c r="MR5" s="430" t="s">
        <v>446</v>
      </c>
      <c r="MS5" s="430" t="s">
        <v>446</v>
      </c>
      <c r="MT5" s="430" t="s">
        <v>446</v>
      </c>
      <c r="MU5" s="430" t="s">
        <v>446</v>
      </c>
      <c r="MV5" s="432" t="s">
        <v>77</v>
      </c>
      <c r="MW5" s="430" t="s">
        <v>446</v>
      </c>
      <c r="MX5" s="430" t="s">
        <v>446</v>
      </c>
      <c r="MY5" s="430" t="s">
        <v>446</v>
      </c>
      <c r="MZ5" s="430" t="s">
        <v>446</v>
      </c>
      <c r="NA5" s="430" t="s">
        <v>446</v>
      </c>
      <c r="NB5" s="432" t="s">
        <v>77</v>
      </c>
      <c r="NC5" s="430" t="s">
        <v>446</v>
      </c>
      <c r="ND5" s="430" t="s">
        <v>446</v>
      </c>
      <c r="NE5" s="430" t="s">
        <v>446</v>
      </c>
      <c r="NF5" s="430" t="s">
        <v>446</v>
      </c>
      <c r="NG5" s="430" t="s">
        <v>446</v>
      </c>
      <c r="NH5" s="430" t="s">
        <v>446</v>
      </c>
      <c r="NI5" s="430" t="s">
        <v>446</v>
      </c>
      <c r="NJ5" s="430" t="s">
        <v>446</v>
      </c>
      <c r="NK5" s="430" t="s">
        <v>446</v>
      </c>
      <c r="NL5" s="430" t="s">
        <v>446</v>
      </c>
      <c r="NM5" s="430" t="s">
        <v>446</v>
      </c>
      <c r="NN5" s="430" t="s">
        <v>446</v>
      </c>
      <c r="NO5" s="430" t="s">
        <v>446</v>
      </c>
      <c r="NP5" s="430" t="s">
        <v>446</v>
      </c>
      <c r="NQ5" s="432" t="s">
        <v>77</v>
      </c>
      <c r="NR5" s="430" t="s">
        <v>446</v>
      </c>
      <c r="NS5" s="430" t="s">
        <v>446</v>
      </c>
      <c r="NT5" s="430" t="s">
        <v>446</v>
      </c>
      <c r="NU5" s="430" t="s">
        <v>446</v>
      </c>
      <c r="NV5" s="430" t="s">
        <v>446</v>
      </c>
      <c r="NW5" s="430" t="s">
        <v>446</v>
      </c>
      <c r="NX5" s="430" t="s">
        <v>446</v>
      </c>
      <c r="NY5" s="430" t="s">
        <v>446</v>
      </c>
      <c r="NZ5" s="430" t="s">
        <v>446</v>
      </c>
      <c r="OA5" s="430" t="s">
        <v>446</v>
      </c>
      <c r="OB5" s="430" t="s">
        <v>446</v>
      </c>
      <c r="OC5" s="430" t="s">
        <v>446</v>
      </c>
      <c r="OD5" s="430" t="s">
        <v>446</v>
      </c>
      <c r="OE5" s="430" t="s">
        <v>446</v>
      </c>
      <c r="OF5" s="430" t="s">
        <v>446</v>
      </c>
      <c r="OG5" s="430" t="s">
        <v>446</v>
      </c>
      <c r="OH5" s="430" t="s">
        <v>446</v>
      </c>
      <c r="OI5" s="430" t="s">
        <v>446</v>
      </c>
      <c r="OJ5" s="430" t="s">
        <v>446</v>
      </c>
      <c r="OK5" s="430" t="s">
        <v>446</v>
      </c>
      <c r="OL5" s="430" t="s">
        <v>446</v>
      </c>
      <c r="OM5" s="430" t="s">
        <v>446</v>
      </c>
      <c r="ON5" s="430" t="s">
        <v>446</v>
      </c>
      <c r="OO5" s="430" t="s">
        <v>446</v>
      </c>
      <c r="OP5" s="430" t="s">
        <v>446</v>
      </c>
      <c r="OQ5" s="430" t="s">
        <v>446</v>
      </c>
      <c r="OR5" s="430" t="s">
        <v>446</v>
      </c>
      <c r="OS5" s="430" t="s">
        <v>446</v>
      </c>
      <c r="OT5" s="430" t="s">
        <v>446</v>
      </c>
      <c r="OU5" s="430" t="s">
        <v>446</v>
      </c>
      <c r="OV5" s="430" t="s">
        <v>446</v>
      </c>
      <c r="OW5" s="430" t="s">
        <v>446</v>
      </c>
      <c r="OX5" s="430" t="s">
        <v>446</v>
      </c>
      <c r="OY5" s="430" t="s">
        <v>446</v>
      </c>
      <c r="OZ5" s="430" t="s">
        <v>446</v>
      </c>
      <c r="PA5" s="430" t="s">
        <v>446</v>
      </c>
      <c r="PB5" s="430" t="s">
        <v>446</v>
      </c>
      <c r="PC5" s="430" t="s">
        <v>446</v>
      </c>
      <c r="PD5" s="430" t="s">
        <v>446</v>
      </c>
      <c r="PE5" s="430" t="s">
        <v>446</v>
      </c>
      <c r="PF5" s="430" t="s">
        <v>446</v>
      </c>
      <c r="PG5" s="430" t="s">
        <v>446</v>
      </c>
      <c r="PH5" s="430" t="s">
        <v>446</v>
      </c>
      <c r="PI5" s="430" t="s">
        <v>446</v>
      </c>
      <c r="PJ5" s="430" t="s">
        <v>446</v>
      </c>
      <c r="PK5" s="430" t="s">
        <v>446</v>
      </c>
      <c r="PL5" s="430" t="s">
        <v>446</v>
      </c>
      <c r="PM5" s="430" t="s">
        <v>446</v>
      </c>
      <c r="PN5" s="430" t="s">
        <v>446</v>
      </c>
      <c r="PO5" s="430" t="s">
        <v>446</v>
      </c>
      <c r="PP5" s="430" t="s">
        <v>446</v>
      </c>
      <c r="PQ5" s="430" t="s">
        <v>446</v>
      </c>
      <c r="PR5" s="430" t="s">
        <v>446</v>
      </c>
      <c r="PS5" s="430" t="s">
        <v>446</v>
      </c>
      <c r="PT5" s="430" t="s">
        <v>446</v>
      </c>
      <c r="PU5" s="430" t="s">
        <v>446</v>
      </c>
      <c r="PV5" s="430" t="s">
        <v>446</v>
      </c>
      <c r="PW5" s="430" t="s">
        <v>446</v>
      </c>
      <c r="PX5" s="430" t="s">
        <v>446</v>
      </c>
      <c r="PY5" s="430" t="s">
        <v>446</v>
      </c>
      <c r="PZ5" s="430" t="s">
        <v>446</v>
      </c>
      <c r="QA5" s="430" t="s">
        <v>446</v>
      </c>
      <c r="QB5" s="430" t="s">
        <v>446</v>
      </c>
      <c r="QC5" s="430" t="s">
        <v>446</v>
      </c>
      <c r="QD5" s="430" t="s">
        <v>446</v>
      </c>
      <c r="QE5" s="430" t="s">
        <v>446</v>
      </c>
      <c r="QF5" s="430" t="s">
        <v>446</v>
      </c>
      <c r="QG5" s="430" t="s">
        <v>446</v>
      </c>
      <c r="QH5" s="430" t="s">
        <v>446</v>
      </c>
      <c r="QI5" s="430" t="s">
        <v>446</v>
      </c>
      <c r="QJ5" s="430" t="s">
        <v>446</v>
      </c>
      <c r="QK5" s="430" t="s">
        <v>446</v>
      </c>
      <c r="QL5" s="430" t="s">
        <v>446</v>
      </c>
      <c r="QM5" s="430" t="s">
        <v>446</v>
      </c>
      <c r="QN5" s="430" t="s">
        <v>446</v>
      </c>
      <c r="QO5" s="442" t="s">
        <v>446</v>
      </c>
    </row>
    <row r="6" spans="1:457" ht="30" customHeight="1" x14ac:dyDescent="0.25">
      <c r="A6" s="431" t="str">
        <f>Salas!A5</f>
        <v>05 - Sala de Aula</v>
      </c>
      <c r="B6" s="429" t="s">
        <v>446</v>
      </c>
      <c r="C6" s="430" t="s">
        <v>446</v>
      </c>
      <c r="D6" s="430" t="s">
        <v>446</v>
      </c>
      <c r="E6" s="430" t="s">
        <v>446</v>
      </c>
      <c r="F6" s="432" t="s">
        <v>373</v>
      </c>
      <c r="G6" s="430" t="s">
        <v>446</v>
      </c>
      <c r="H6" s="430" t="s">
        <v>446</v>
      </c>
      <c r="I6" s="430" t="s">
        <v>446</v>
      </c>
      <c r="J6" s="430" t="s">
        <v>446</v>
      </c>
      <c r="K6" s="430" t="s">
        <v>446</v>
      </c>
      <c r="L6" s="430" t="s">
        <v>446</v>
      </c>
      <c r="M6" s="430" t="s">
        <v>446</v>
      </c>
      <c r="N6" s="430" t="s">
        <v>446</v>
      </c>
      <c r="O6" s="430" t="s">
        <v>446</v>
      </c>
      <c r="P6" s="430" t="s">
        <v>446</v>
      </c>
      <c r="Q6" s="430" t="s">
        <v>446</v>
      </c>
      <c r="R6" s="430" t="s">
        <v>446</v>
      </c>
      <c r="S6" s="430" t="s">
        <v>446</v>
      </c>
      <c r="T6" s="430" t="s">
        <v>446</v>
      </c>
      <c r="U6" s="432" t="s">
        <v>373</v>
      </c>
      <c r="V6" s="430" t="s">
        <v>446</v>
      </c>
      <c r="W6" s="430" t="s">
        <v>446</v>
      </c>
      <c r="X6" s="430" t="s">
        <v>446</v>
      </c>
      <c r="Y6" s="430" t="s">
        <v>446</v>
      </c>
      <c r="Z6" s="430" t="s">
        <v>446</v>
      </c>
      <c r="AA6" s="432" t="s">
        <v>373</v>
      </c>
      <c r="AB6" s="430" t="s">
        <v>446</v>
      </c>
      <c r="AC6" s="430" t="s">
        <v>446</v>
      </c>
      <c r="AD6" s="430" t="s">
        <v>446</v>
      </c>
      <c r="AE6" s="430" t="s">
        <v>446</v>
      </c>
      <c r="AF6" s="430" t="s">
        <v>446</v>
      </c>
      <c r="AG6" s="430" t="s">
        <v>446</v>
      </c>
      <c r="AH6" s="430" t="s">
        <v>446</v>
      </c>
      <c r="AI6" s="430" t="s">
        <v>446</v>
      </c>
      <c r="AJ6" s="430" t="s">
        <v>446</v>
      </c>
      <c r="AK6" s="430" t="s">
        <v>446</v>
      </c>
      <c r="AL6" s="430" t="s">
        <v>446</v>
      </c>
      <c r="AM6" s="430" t="s">
        <v>446</v>
      </c>
      <c r="AN6" s="430" t="s">
        <v>446</v>
      </c>
      <c r="AO6" s="430" t="s">
        <v>446</v>
      </c>
      <c r="AP6" s="432" t="s">
        <v>373</v>
      </c>
      <c r="AQ6" s="430" t="s">
        <v>446</v>
      </c>
      <c r="AR6" s="430" t="s">
        <v>446</v>
      </c>
      <c r="AS6" s="430" t="s">
        <v>446</v>
      </c>
      <c r="AT6" s="430" t="s">
        <v>446</v>
      </c>
      <c r="AU6" s="430" t="s">
        <v>446</v>
      </c>
      <c r="AV6" s="432" t="s">
        <v>373</v>
      </c>
      <c r="AW6" s="430" t="s">
        <v>446</v>
      </c>
      <c r="AX6" s="430" t="s">
        <v>446</v>
      </c>
      <c r="AY6" s="430" t="s">
        <v>446</v>
      </c>
      <c r="AZ6" s="430" t="s">
        <v>446</v>
      </c>
      <c r="BA6" s="430" t="s">
        <v>446</v>
      </c>
      <c r="BB6" s="430" t="s">
        <v>446</v>
      </c>
      <c r="BC6" s="430" t="s">
        <v>446</v>
      </c>
      <c r="BD6" s="430" t="s">
        <v>446</v>
      </c>
      <c r="BE6" s="430" t="s">
        <v>446</v>
      </c>
      <c r="BF6" s="430" t="s">
        <v>446</v>
      </c>
      <c r="BG6" s="430" t="s">
        <v>446</v>
      </c>
      <c r="BH6" s="430" t="s">
        <v>446</v>
      </c>
      <c r="BI6" s="430" t="s">
        <v>446</v>
      </c>
      <c r="BJ6" s="430" t="s">
        <v>446</v>
      </c>
      <c r="BK6" s="432" t="s">
        <v>373</v>
      </c>
      <c r="BL6" s="430" t="s">
        <v>446</v>
      </c>
      <c r="BM6" s="430" t="s">
        <v>446</v>
      </c>
      <c r="BN6" s="430" t="s">
        <v>446</v>
      </c>
      <c r="BO6" s="430" t="s">
        <v>446</v>
      </c>
      <c r="BP6" s="430" t="s">
        <v>446</v>
      </c>
      <c r="BQ6" s="432" t="s">
        <v>373</v>
      </c>
      <c r="BR6" s="430" t="s">
        <v>446</v>
      </c>
      <c r="BS6" s="430" t="s">
        <v>446</v>
      </c>
      <c r="BT6" s="430" t="s">
        <v>446</v>
      </c>
      <c r="BU6" s="430" t="s">
        <v>446</v>
      </c>
      <c r="BV6" s="430" t="s">
        <v>446</v>
      </c>
      <c r="BW6" s="430" t="s">
        <v>446</v>
      </c>
      <c r="BX6" s="430" t="s">
        <v>446</v>
      </c>
      <c r="BY6" s="430" t="s">
        <v>446</v>
      </c>
      <c r="BZ6" s="430" t="s">
        <v>446</v>
      </c>
      <c r="CA6" s="430" t="s">
        <v>446</v>
      </c>
      <c r="CB6" s="430" t="s">
        <v>446</v>
      </c>
      <c r="CC6" s="430" t="s">
        <v>446</v>
      </c>
      <c r="CD6" s="430" t="s">
        <v>446</v>
      </c>
      <c r="CE6" s="430" t="s">
        <v>446</v>
      </c>
      <c r="CF6" s="432" t="s">
        <v>373</v>
      </c>
      <c r="CG6" s="430" t="s">
        <v>446</v>
      </c>
      <c r="CH6" s="430" t="s">
        <v>446</v>
      </c>
      <c r="CI6" s="430" t="s">
        <v>446</v>
      </c>
      <c r="CJ6" s="430" t="s">
        <v>446</v>
      </c>
      <c r="CK6" s="430" t="s">
        <v>446</v>
      </c>
      <c r="CL6" s="432" t="s">
        <v>373</v>
      </c>
      <c r="CM6" s="430" t="s">
        <v>446</v>
      </c>
      <c r="CN6" s="430" t="s">
        <v>446</v>
      </c>
      <c r="CO6" s="430" t="s">
        <v>446</v>
      </c>
      <c r="CP6" s="430" t="s">
        <v>446</v>
      </c>
      <c r="CQ6" s="430" t="s">
        <v>446</v>
      </c>
      <c r="CR6" s="430" t="s">
        <v>446</v>
      </c>
      <c r="CS6" s="430" t="s">
        <v>446</v>
      </c>
      <c r="CT6" s="430" t="s">
        <v>446</v>
      </c>
      <c r="CU6" s="430" t="s">
        <v>446</v>
      </c>
      <c r="CV6" s="430" t="s">
        <v>446</v>
      </c>
      <c r="CW6" s="430" t="s">
        <v>446</v>
      </c>
      <c r="CX6" s="430" t="s">
        <v>446</v>
      </c>
      <c r="CY6" s="430" t="s">
        <v>446</v>
      </c>
      <c r="CZ6" s="430" t="s">
        <v>446</v>
      </c>
      <c r="DA6" s="432" t="s">
        <v>373</v>
      </c>
      <c r="DB6" s="430" t="s">
        <v>446</v>
      </c>
      <c r="DC6" s="430" t="s">
        <v>446</v>
      </c>
      <c r="DD6" s="430" t="s">
        <v>446</v>
      </c>
      <c r="DE6" s="430" t="s">
        <v>446</v>
      </c>
      <c r="DF6" s="430" t="s">
        <v>446</v>
      </c>
      <c r="DG6" s="432" t="s">
        <v>373</v>
      </c>
      <c r="DH6" s="430" t="s">
        <v>446</v>
      </c>
      <c r="DI6" s="430" t="s">
        <v>446</v>
      </c>
      <c r="DJ6" s="430" t="s">
        <v>446</v>
      </c>
      <c r="DK6" s="430" t="s">
        <v>446</v>
      </c>
      <c r="DL6" s="430" t="s">
        <v>446</v>
      </c>
      <c r="DM6" s="430" t="s">
        <v>446</v>
      </c>
      <c r="DN6" s="430" t="s">
        <v>446</v>
      </c>
      <c r="DO6" s="430" t="s">
        <v>446</v>
      </c>
      <c r="DP6" s="430" t="s">
        <v>446</v>
      </c>
      <c r="DQ6" s="430" t="s">
        <v>446</v>
      </c>
      <c r="DR6" s="430" t="s">
        <v>446</v>
      </c>
      <c r="DS6" s="430" t="s">
        <v>446</v>
      </c>
      <c r="DT6" s="430" t="s">
        <v>446</v>
      </c>
      <c r="DU6" s="430" t="s">
        <v>446</v>
      </c>
      <c r="DV6" s="432" t="s">
        <v>373</v>
      </c>
      <c r="DW6" s="430" t="s">
        <v>446</v>
      </c>
      <c r="DX6" s="430" t="s">
        <v>446</v>
      </c>
      <c r="DY6" s="430" t="s">
        <v>446</v>
      </c>
      <c r="DZ6" s="430" t="s">
        <v>446</v>
      </c>
      <c r="EA6" s="430" t="s">
        <v>446</v>
      </c>
      <c r="EB6" s="432" t="s">
        <v>373</v>
      </c>
      <c r="EC6" s="430" t="s">
        <v>446</v>
      </c>
      <c r="ED6" s="430" t="s">
        <v>446</v>
      </c>
      <c r="EE6" s="430" t="s">
        <v>446</v>
      </c>
      <c r="EF6" s="430" t="s">
        <v>446</v>
      </c>
      <c r="EG6" s="430" t="s">
        <v>446</v>
      </c>
      <c r="EH6" s="430" t="s">
        <v>446</v>
      </c>
      <c r="EI6" s="430" t="s">
        <v>446</v>
      </c>
      <c r="EJ6" s="430" t="s">
        <v>446</v>
      </c>
      <c r="EK6" s="430" t="s">
        <v>446</v>
      </c>
      <c r="EL6" s="430" t="s">
        <v>446</v>
      </c>
      <c r="EM6" s="430" t="s">
        <v>446</v>
      </c>
      <c r="EN6" s="430" t="s">
        <v>446</v>
      </c>
      <c r="EO6" s="430" t="s">
        <v>446</v>
      </c>
      <c r="EP6" s="430" t="s">
        <v>446</v>
      </c>
      <c r="EQ6" s="432" t="s">
        <v>373</v>
      </c>
      <c r="ER6" s="430" t="s">
        <v>446</v>
      </c>
      <c r="ES6" s="430" t="s">
        <v>446</v>
      </c>
      <c r="ET6" s="430" t="s">
        <v>446</v>
      </c>
      <c r="EU6" s="430" t="s">
        <v>446</v>
      </c>
      <c r="EV6" s="430" t="s">
        <v>446</v>
      </c>
      <c r="EW6" s="432" t="s">
        <v>373</v>
      </c>
      <c r="EX6" s="430" t="s">
        <v>446</v>
      </c>
      <c r="EY6" s="430" t="s">
        <v>446</v>
      </c>
      <c r="EZ6" s="430" t="s">
        <v>446</v>
      </c>
      <c r="FA6" s="430" t="s">
        <v>446</v>
      </c>
      <c r="FB6" s="430" t="s">
        <v>446</v>
      </c>
      <c r="FC6" s="430" t="s">
        <v>446</v>
      </c>
      <c r="FD6" s="430" t="s">
        <v>446</v>
      </c>
      <c r="FE6" s="430" t="s">
        <v>446</v>
      </c>
      <c r="FF6" s="430" t="s">
        <v>446</v>
      </c>
      <c r="FG6" s="430" t="s">
        <v>446</v>
      </c>
      <c r="FH6" s="430" t="s">
        <v>446</v>
      </c>
      <c r="FI6" s="430" t="s">
        <v>446</v>
      </c>
      <c r="FJ6" s="430" t="s">
        <v>446</v>
      </c>
      <c r="FK6" s="430" t="s">
        <v>446</v>
      </c>
      <c r="FL6" s="432" t="s">
        <v>373</v>
      </c>
      <c r="FM6" s="430" t="s">
        <v>446</v>
      </c>
      <c r="FN6" s="430" t="s">
        <v>446</v>
      </c>
      <c r="FO6" s="430" t="s">
        <v>446</v>
      </c>
      <c r="FP6" s="430" t="s">
        <v>446</v>
      </c>
      <c r="FQ6" s="430" t="s">
        <v>446</v>
      </c>
      <c r="FR6" s="432" t="s">
        <v>373</v>
      </c>
      <c r="FS6" s="430" t="s">
        <v>446</v>
      </c>
      <c r="FT6" s="430" t="s">
        <v>446</v>
      </c>
      <c r="FU6" s="430" t="s">
        <v>446</v>
      </c>
      <c r="FV6" s="430" t="s">
        <v>446</v>
      </c>
      <c r="FW6" s="430" t="s">
        <v>446</v>
      </c>
      <c r="FX6" s="430" t="s">
        <v>446</v>
      </c>
      <c r="FY6" s="430" t="s">
        <v>446</v>
      </c>
      <c r="FZ6" s="430" t="s">
        <v>446</v>
      </c>
      <c r="GA6" s="430" t="s">
        <v>446</v>
      </c>
      <c r="GB6" s="430" t="s">
        <v>446</v>
      </c>
      <c r="GC6" s="430" t="s">
        <v>446</v>
      </c>
      <c r="GD6" s="430" t="s">
        <v>446</v>
      </c>
      <c r="GE6" s="430" t="s">
        <v>446</v>
      </c>
      <c r="GF6" s="430" t="s">
        <v>446</v>
      </c>
      <c r="GG6" s="432" t="s">
        <v>373</v>
      </c>
      <c r="GH6" s="430" t="s">
        <v>446</v>
      </c>
      <c r="GI6" s="430" t="s">
        <v>446</v>
      </c>
      <c r="GJ6" s="430" t="s">
        <v>446</v>
      </c>
      <c r="GK6" s="430" t="s">
        <v>446</v>
      </c>
      <c r="GL6" s="430" t="s">
        <v>446</v>
      </c>
      <c r="GM6" s="432" t="s">
        <v>373</v>
      </c>
      <c r="GN6" s="430" t="s">
        <v>446</v>
      </c>
      <c r="GO6" s="430" t="s">
        <v>446</v>
      </c>
      <c r="GP6" s="430" t="s">
        <v>446</v>
      </c>
      <c r="GQ6" s="430" t="s">
        <v>446</v>
      </c>
      <c r="GR6" s="430" t="s">
        <v>446</v>
      </c>
      <c r="GS6" s="430" t="s">
        <v>446</v>
      </c>
      <c r="GT6" s="430" t="s">
        <v>446</v>
      </c>
      <c r="GU6" s="430" t="s">
        <v>446</v>
      </c>
      <c r="GV6" s="430" t="s">
        <v>446</v>
      </c>
      <c r="GW6" s="430" t="s">
        <v>446</v>
      </c>
      <c r="GX6" s="430" t="s">
        <v>446</v>
      </c>
      <c r="GY6" s="430" t="s">
        <v>446</v>
      </c>
      <c r="GZ6" s="430" t="s">
        <v>446</v>
      </c>
      <c r="HA6" s="430" t="s">
        <v>446</v>
      </c>
      <c r="HB6" s="432" t="s">
        <v>373</v>
      </c>
      <c r="HC6" s="430" t="s">
        <v>446</v>
      </c>
      <c r="HD6" s="430" t="s">
        <v>446</v>
      </c>
      <c r="HE6" s="430" t="s">
        <v>446</v>
      </c>
      <c r="HF6" s="430" t="s">
        <v>446</v>
      </c>
      <c r="HG6" s="430" t="s">
        <v>446</v>
      </c>
      <c r="HH6" s="432" t="s">
        <v>373</v>
      </c>
      <c r="HI6" s="430" t="s">
        <v>446</v>
      </c>
      <c r="HJ6" s="430" t="s">
        <v>446</v>
      </c>
      <c r="HK6" s="430" t="s">
        <v>446</v>
      </c>
      <c r="HL6" s="430" t="s">
        <v>446</v>
      </c>
      <c r="HM6" s="430" t="s">
        <v>446</v>
      </c>
      <c r="HN6" s="430" t="s">
        <v>446</v>
      </c>
      <c r="HO6" s="430" t="s">
        <v>446</v>
      </c>
      <c r="HP6" s="430" t="s">
        <v>446</v>
      </c>
      <c r="HQ6" s="430" t="s">
        <v>446</v>
      </c>
      <c r="HR6" s="430" t="s">
        <v>446</v>
      </c>
      <c r="HS6" s="430" t="s">
        <v>446</v>
      </c>
      <c r="HT6" s="430" t="s">
        <v>446</v>
      </c>
      <c r="HU6" s="430" t="s">
        <v>446</v>
      </c>
      <c r="HV6" s="430" t="s">
        <v>446</v>
      </c>
      <c r="HW6" s="432" t="s">
        <v>373</v>
      </c>
      <c r="HX6" s="430" t="s">
        <v>446</v>
      </c>
      <c r="HY6" s="430" t="s">
        <v>446</v>
      </c>
      <c r="HZ6" s="430" t="s">
        <v>446</v>
      </c>
      <c r="IA6" s="430" t="s">
        <v>446</v>
      </c>
      <c r="IB6" s="430" t="s">
        <v>446</v>
      </c>
      <c r="IC6" s="432" t="s">
        <v>373</v>
      </c>
      <c r="ID6" s="430" t="s">
        <v>446</v>
      </c>
      <c r="IE6" s="430" t="s">
        <v>446</v>
      </c>
      <c r="IF6" s="430" t="s">
        <v>446</v>
      </c>
      <c r="IG6" s="430" t="s">
        <v>446</v>
      </c>
      <c r="IH6" s="430" t="s">
        <v>446</v>
      </c>
      <c r="II6" s="430" t="s">
        <v>446</v>
      </c>
      <c r="IJ6" s="430" t="s">
        <v>446</v>
      </c>
      <c r="IK6" s="430" t="s">
        <v>446</v>
      </c>
      <c r="IL6" s="430" t="s">
        <v>446</v>
      </c>
      <c r="IM6" s="430" t="s">
        <v>446</v>
      </c>
      <c r="IN6" s="430" t="s">
        <v>446</v>
      </c>
      <c r="IO6" s="430" t="s">
        <v>446</v>
      </c>
      <c r="IP6" s="430" t="s">
        <v>446</v>
      </c>
      <c r="IQ6" s="430" t="s">
        <v>446</v>
      </c>
      <c r="IR6" s="432" t="s">
        <v>373</v>
      </c>
      <c r="IS6" s="430" t="s">
        <v>446</v>
      </c>
      <c r="IT6" s="430" t="s">
        <v>446</v>
      </c>
      <c r="IU6" s="430" t="s">
        <v>446</v>
      </c>
      <c r="IV6" s="430" t="s">
        <v>446</v>
      </c>
      <c r="IW6" s="430" t="s">
        <v>446</v>
      </c>
      <c r="IX6" s="432" t="s">
        <v>373</v>
      </c>
      <c r="IY6" s="430" t="s">
        <v>446</v>
      </c>
      <c r="IZ6" s="430" t="s">
        <v>446</v>
      </c>
      <c r="JA6" s="430" t="s">
        <v>446</v>
      </c>
      <c r="JB6" s="430" t="s">
        <v>446</v>
      </c>
      <c r="JC6" s="430" t="s">
        <v>446</v>
      </c>
      <c r="JD6" s="430" t="s">
        <v>446</v>
      </c>
      <c r="JE6" s="430" t="s">
        <v>446</v>
      </c>
      <c r="JF6" s="430" t="s">
        <v>446</v>
      </c>
      <c r="JG6" s="430" t="s">
        <v>446</v>
      </c>
      <c r="JH6" s="430" t="s">
        <v>446</v>
      </c>
      <c r="JI6" s="430" t="s">
        <v>446</v>
      </c>
      <c r="JJ6" s="430" t="s">
        <v>446</v>
      </c>
      <c r="JK6" s="430" t="s">
        <v>446</v>
      </c>
      <c r="JL6" s="430" t="s">
        <v>446</v>
      </c>
      <c r="JM6" s="432" t="s">
        <v>373</v>
      </c>
      <c r="JN6" s="430" t="s">
        <v>446</v>
      </c>
      <c r="JO6" s="430" t="s">
        <v>446</v>
      </c>
      <c r="JP6" s="430" t="s">
        <v>446</v>
      </c>
      <c r="JQ6" s="430" t="s">
        <v>446</v>
      </c>
      <c r="JR6" s="430" t="s">
        <v>446</v>
      </c>
      <c r="JS6" s="432" t="s">
        <v>373</v>
      </c>
      <c r="JT6" s="430" t="s">
        <v>446</v>
      </c>
      <c r="JU6" s="430" t="s">
        <v>446</v>
      </c>
      <c r="JV6" s="430" t="s">
        <v>446</v>
      </c>
      <c r="JW6" s="430" t="s">
        <v>446</v>
      </c>
      <c r="JX6" s="430" t="s">
        <v>446</v>
      </c>
      <c r="JY6" s="430" t="s">
        <v>446</v>
      </c>
      <c r="JZ6" s="430" t="s">
        <v>446</v>
      </c>
      <c r="KA6" s="430" t="s">
        <v>446</v>
      </c>
      <c r="KB6" s="430" t="s">
        <v>446</v>
      </c>
      <c r="KC6" s="430" t="s">
        <v>446</v>
      </c>
      <c r="KD6" s="430" t="s">
        <v>446</v>
      </c>
      <c r="KE6" s="430" t="s">
        <v>446</v>
      </c>
      <c r="KF6" s="430" t="s">
        <v>446</v>
      </c>
      <c r="KG6" s="430" t="s">
        <v>446</v>
      </c>
      <c r="KH6" s="432" t="s">
        <v>373</v>
      </c>
      <c r="KI6" s="430" t="s">
        <v>446</v>
      </c>
      <c r="KJ6" s="430" t="s">
        <v>446</v>
      </c>
      <c r="KK6" s="430" t="s">
        <v>446</v>
      </c>
      <c r="KL6" s="430" t="s">
        <v>446</v>
      </c>
      <c r="KM6" s="430" t="s">
        <v>446</v>
      </c>
      <c r="KN6" s="432" t="s">
        <v>373</v>
      </c>
      <c r="KO6" s="430" t="s">
        <v>446</v>
      </c>
      <c r="KP6" s="430" t="s">
        <v>446</v>
      </c>
      <c r="KQ6" s="430" t="s">
        <v>446</v>
      </c>
      <c r="KR6" s="430" t="s">
        <v>446</v>
      </c>
      <c r="KS6" s="430" t="s">
        <v>446</v>
      </c>
      <c r="KT6" s="430" t="s">
        <v>446</v>
      </c>
      <c r="KU6" s="430" t="s">
        <v>446</v>
      </c>
      <c r="KV6" s="430" t="s">
        <v>446</v>
      </c>
      <c r="KW6" s="430" t="s">
        <v>446</v>
      </c>
      <c r="KX6" s="430" t="s">
        <v>446</v>
      </c>
      <c r="KY6" s="430" t="s">
        <v>446</v>
      </c>
      <c r="KZ6" s="430" t="s">
        <v>446</v>
      </c>
      <c r="LA6" s="430" t="s">
        <v>446</v>
      </c>
      <c r="LB6" s="430" t="s">
        <v>446</v>
      </c>
      <c r="LC6" s="432" t="s">
        <v>373</v>
      </c>
      <c r="LD6" s="430" t="s">
        <v>446</v>
      </c>
      <c r="LE6" s="430" t="s">
        <v>446</v>
      </c>
      <c r="LF6" s="430" t="s">
        <v>446</v>
      </c>
      <c r="LG6" s="430" t="s">
        <v>446</v>
      </c>
      <c r="LH6" s="430" t="s">
        <v>446</v>
      </c>
      <c r="LI6" s="432" t="s">
        <v>373</v>
      </c>
      <c r="LJ6" s="430" t="s">
        <v>446</v>
      </c>
      <c r="LK6" s="430" t="s">
        <v>446</v>
      </c>
      <c r="LL6" s="430" t="s">
        <v>446</v>
      </c>
      <c r="LM6" s="430" t="s">
        <v>446</v>
      </c>
      <c r="LN6" s="430" t="s">
        <v>446</v>
      </c>
      <c r="LO6" s="430" t="s">
        <v>446</v>
      </c>
      <c r="LP6" s="430" t="s">
        <v>446</v>
      </c>
      <c r="LQ6" s="430" t="s">
        <v>446</v>
      </c>
      <c r="LR6" s="430" t="s">
        <v>446</v>
      </c>
      <c r="LS6" s="430" t="s">
        <v>446</v>
      </c>
      <c r="LT6" s="430" t="s">
        <v>446</v>
      </c>
      <c r="LU6" s="430" t="s">
        <v>446</v>
      </c>
      <c r="LV6" s="430" t="s">
        <v>446</v>
      </c>
      <c r="LW6" s="430" t="s">
        <v>446</v>
      </c>
      <c r="LX6" s="432" t="s">
        <v>373</v>
      </c>
      <c r="LY6" s="430" t="s">
        <v>446</v>
      </c>
      <c r="LZ6" s="430" t="s">
        <v>446</v>
      </c>
      <c r="MA6" s="430" t="s">
        <v>446</v>
      </c>
      <c r="MB6" s="430" t="s">
        <v>446</v>
      </c>
      <c r="MC6" s="430" t="s">
        <v>446</v>
      </c>
      <c r="MD6" s="432" t="s">
        <v>373</v>
      </c>
      <c r="ME6" s="430" t="s">
        <v>446</v>
      </c>
      <c r="MF6" s="430" t="s">
        <v>446</v>
      </c>
      <c r="MG6" s="430" t="s">
        <v>446</v>
      </c>
      <c r="MH6" s="430" t="s">
        <v>446</v>
      </c>
      <c r="MI6" s="430" t="s">
        <v>446</v>
      </c>
      <c r="MJ6" s="430" t="s">
        <v>446</v>
      </c>
      <c r="MK6" s="430" t="s">
        <v>446</v>
      </c>
      <c r="ML6" s="430" t="s">
        <v>446</v>
      </c>
      <c r="MM6" s="430" t="s">
        <v>446</v>
      </c>
      <c r="MN6" s="430" t="s">
        <v>446</v>
      </c>
      <c r="MO6" s="430" t="s">
        <v>446</v>
      </c>
      <c r="MP6" s="430" t="s">
        <v>446</v>
      </c>
      <c r="MQ6" s="430" t="s">
        <v>446</v>
      </c>
      <c r="MR6" s="430" t="s">
        <v>446</v>
      </c>
      <c r="MS6" s="432" t="s">
        <v>373</v>
      </c>
      <c r="MT6" s="430" t="s">
        <v>446</v>
      </c>
      <c r="MU6" s="430" t="s">
        <v>446</v>
      </c>
      <c r="MV6" s="430" t="s">
        <v>446</v>
      </c>
      <c r="MW6" s="430" t="s">
        <v>446</v>
      </c>
      <c r="MX6" s="430" t="s">
        <v>446</v>
      </c>
      <c r="MY6" s="432" t="s">
        <v>373</v>
      </c>
      <c r="MZ6" s="430" t="s">
        <v>446</v>
      </c>
      <c r="NA6" s="430" t="s">
        <v>446</v>
      </c>
      <c r="NB6" s="430" t="s">
        <v>446</v>
      </c>
      <c r="NC6" s="430" t="s">
        <v>446</v>
      </c>
      <c r="ND6" s="430" t="s">
        <v>446</v>
      </c>
      <c r="NE6" s="430" t="s">
        <v>446</v>
      </c>
      <c r="NF6" s="430" t="s">
        <v>446</v>
      </c>
      <c r="NG6" s="430" t="s">
        <v>446</v>
      </c>
      <c r="NH6" s="430" t="s">
        <v>446</v>
      </c>
      <c r="NI6" s="430" t="s">
        <v>446</v>
      </c>
      <c r="NJ6" s="430" t="s">
        <v>446</v>
      </c>
      <c r="NK6" s="430" t="s">
        <v>446</v>
      </c>
      <c r="NL6" s="430" t="s">
        <v>446</v>
      </c>
      <c r="NM6" s="430" t="s">
        <v>446</v>
      </c>
      <c r="NN6" s="432" t="s">
        <v>373</v>
      </c>
      <c r="NO6" s="430" t="s">
        <v>446</v>
      </c>
      <c r="NP6" s="430" t="s">
        <v>446</v>
      </c>
      <c r="NQ6" s="430" t="s">
        <v>446</v>
      </c>
      <c r="NR6" s="430" t="s">
        <v>446</v>
      </c>
      <c r="NS6" s="430" t="s">
        <v>446</v>
      </c>
      <c r="NT6" s="430" t="s">
        <v>446</v>
      </c>
      <c r="NU6" s="430" t="s">
        <v>446</v>
      </c>
      <c r="NV6" s="430" t="s">
        <v>446</v>
      </c>
      <c r="NW6" s="430" t="s">
        <v>446</v>
      </c>
      <c r="NX6" s="430" t="s">
        <v>446</v>
      </c>
      <c r="NY6" s="430" t="s">
        <v>446</v>
      </c>
      <c r="NZ6" s="430" t="s">
        <v>446</v>
      </c>
      <c r="OA6" s="430" t="s">
        <v>446</v>
      </c>
      <c r="OB6" s="430" t="s">
        <v>446</v>
      </c>
      <c r="OC6" s="430" t="s">
        <v>446</v>
      </c>
      <c r="OD6" s="430" t="s">
        <v>446</v>
      </c>
      <c r="OE6" s="430" t="s">
        <v>446</v>
      </c>
      <c r="OF6" s="430" t="s">
        <v>446</v>
      </c>
      <c r="OG6" s="430" t="s">
        <v>446</v>
      </c>
      <c r="OH6" s="430" t="s">
        <v>446</v>
      </c>
      <c r="OI6" s="430" t="s">
        <v>446</v>
      </c>
      <c r="OJ6" s="430" t="s">
        <v>446</v>
      </c>
      <c r="OK6" s="430" t="s">
        <v>446</v>
      </c>
      <c r="OL6" s="430" t="s">
        <v>446</v>
      </c>
      <c r="OM6" s="430" t="s">
        <v>446</v>
      </c>
      <c r="ON6" s="430" t="s">
        <v>446</v>
      </c>
      <c r="OO6" s="430" t="s">
        <v>446</v>
      </c>
      <c r="OP6" s="430" t="s">
        <v>446</v>
      </c>
      <c r="OQ6" s="430" t="s">
        <v>446</v>
      </c>
      <c r="OR6" s="430" t="s">
        <v>446</v>
      </c>
      <c r="OS6" s="430" t="s">
        <v>446</v>
      </c>
      <c r="OT6" s="430" t="s">
        <v>446</v>
      </c>
      <c r="OU6" s="430" t="s">
        <v>446</v>
      </c>
      <c r="OV6" s="430" t="s">
        <v>446</v>
      </c>
      <c r="OW6" s="430" t="s">
        <v>446</v>
      </c>
      <c r="OX6" s="430" t="s">
        <v>446</v>
      </c>
      <c r="OY6" s="430" t="s">
        <v>446</v>
      </c>
      <c r="OZ6" s="430" t="s">
        <v>446</v>
      </c>
      <c r="PA6" s="430" t="s">
        <v>446</v>
      </c>
      <c r="PB6" s="430" t="s">
        <v>446</v>
      </c>
      <c r="PC6" s="430" t="s">
        <v>446</v>
      </c>
      <c r="PD6" s="430" t="s">
        <v>446</v>
      </c>
      <c r="PE6" s="430" t="s">
        <v>446</v>
      </c>
      <c r="PF6" s="430" t="s">
        <v>446</v>
      </c>
      <c r="PG6" s="430" t="s">
        <v>446</v>
      </c>
      <c r="PH6" s="430" t="s">
        <v>446</v>
      </c>
      <c r="PI6" s="430" t="s">
        <v>446</v>
      </c>
      <c r="PJ6" s="430" t="s">
        <v>446</v>
      </c>
      <c r="PK6" s="430" t="s">
        <v>446</v>
      </c>
      <c r="PL6" s="430" t="s">
        <v>446</v>
      </c>
      <c r="PM6" s="430" t="s">
        <v>446</v>
      </c>
      <c r="PN6" s="430" t="s">
        <v>446</v>
      </c>
      <c r="PO6" s="430" t="s">
        <v>446</v>
      </c>
      <c r="PP6" s="430" t="s">
        <v>446</v>
      </c>
      <c r="PQ6" s="430" t="s">
        <v>446</v>
      </c>
      <c r="PR6" s="430" t="s">
        <v>446</v>
      </c>
      <c r="PS6" s="430" t="s">
        <v>446</v>
      </c>
      <c r="PT6" s="430" t="s">
        <v>446</v>
      </c>
      <c r="PU6" s="430" t="s">
        <v>446</v>
      </c>
      <c r="PV6" s="430" t="s">
        <v>446</v>
      </c>
      <c r="PW6" s="430" t="s">
        <v>446</v>
      </c>
      <c r="PX6" s="430" t="s">
        <v>446</v>
      </c>
      <c r="PY6" s="430" t="s">
        <v>446</v>
      </c>
      <c r="PZ6" s="430" t="s">
        <v>446</v>
      </c>
      <c r="QA6" s="430" t="s">
        <v>446</v>
      </c>
      <c r="QB6" s="430" t="s">
        <v>446</v>
      </c>
      <c r="QC6" s="430" t="s">
        <v>446</v>
      </c>
      <c r="QD6" s="430" t="s">
        <v>446</v>
      </c>
      <c r="QE6" s="430" t="s">
        <v>446</v>
      </c>
      <c r="QF6" s="430" t="s">
        <v>446</v>
      </c>
      <c r="QG6" s="430" t="s">
        <v>446</v>
      </c>
      <c r="QH6" s="430" t="s">
        <v>446</v>
      </c>
      <c r="QI6" s="430" t="s">
        <v>446</v>
      </c>
      <c r="QJ6" s="430" t="s">
        <v>446</v>
      </c>
      <c r="QK6" s="430" t="s">
        <v>446</v>
      </c>
      <c r="QL6" s="430" t="s">
        <v>446</v>
      </c>
      <c r="QM6" s="430" t="s">
        <v>446</v>
      </c>
      <c r="QN6" s="430" t="s">
        <v>446</v>
      </c>
      <c r="QO6" s="442" t="s">
        <v>446</v>
      </c>
    </row>
    <row r="7" spans="1:457" ht="30" customHeight="1" x14ac:dyDescent="0.25">
      <c r="A7" s="431" t="str">
        <f>Salas!A6</f>
        <v>06 - Laboratório de Informática</v>
      </c>
      <c r="B7" s="429" t="s">
        <v>446</v>
      </c>
      <c r="C7" s="430" t="s">
        <v>446</v>
      </c>
      <c r="D7" s="430" t="s">
        <v>446</v>
      </c>
      <c r="E7" s="430" t="s">
        <v>446</v>
      </c>
      <c r="F7" s="430" t="s">
        <v>446</v>
      </c>
      <c r="G7" s="430" t="s">
        <v>446</v>
      </c>
      <c r="H7" s="430" t="s">
        <v>446</v>
      </c>
      <c r="I7" s="432" t="s">
        <v>78</v>
      </c>
      <c r="J7" s="430" t="s">
        <v>446</v>
      </c>
      <c r="K7" s="430" t="s">
        <v>446</v>
      </c>
      <c r="L7" s="430" t="s">
        <v>446</v>
      </c>
      <c r="M7" s="430" t="s">
        <v>446</v>
      </c>
      <c r="N7" s="430" t="s">
        <v>446</v>
      </c>
      <c r="O7" s="430" t="s">
        <v>446</v>
      </c>
      <c r="P7" s="430" t="s">
        <v>446</v>
      </c>
      <c r="Q7" s="430" t="s">
        <v>446</v>
      </c>
      <c r="R7" s="432" t="s">
        <v>78</v>
      </c>
      <c r="S7" s="430" t="s">
        <v>446</v>
      </c>
      <c r="T7" s="430" t="s">
        <v>446</v>
      </c>
      <c r="U7" s="430" t="s">
        <v>446</v>
      </c>
      <c r="V7" s="433" t="s">
        <v>366</v>
      </c>
      <c r="W7" s="430" t="s">
        <v>446</v>
      </c>
      <c r="X7" s="430" t="s">
        <v>446</v>
      </c>
      <c r="Y7" s="433" t="s">
        <v>79</v>
      </c>
      <c r="Z7" s="430" t="s">
        <v>446</v>
      </c>
      <c r="AA7" s="430" t="s">
        <v>446</v>
      </c>
      <c r="AB7" s="433" t="s">
        <v>366</v>
      </c>
      <c r="AC7" s="430" t="s">
        <v>446</v>
      </c>
      <c r="AD7" s="432" t="s">
        <v>78</v>
      </c>
      <c r="AE7" s="430" t="s">
        <v>446</v>
      </c>
      <c r="AF7" s="430" t="s">
        <v>446</v>
      </c>
      <c r="AG7" s="430" t="s">
        <v>446</v>
      </c>
      <c r="AH7" s="430" t="s">
        <v>446</v>
      </c>
      <c r="AI7" s="430" t="s">
        <v>446</v>
      </c>
      <c r="AJ7" s="430" t="s">
        <v>446</v>
      </c>
      <c r="AK7" s="430" t="s">
        <v>446</v>
      </c>
      <c r="AL7" s="430" t="s">
        <v>446</v>
      </c>
      <c r="AM7" s="432" t="s">
        <v>78</v>
      </c>
      <c r="AN7" s="430" t="s">
        <v>446</v>
      </c>
      <c r="AO7" s="430" t="s">
        <v>446</v>
      </c>
      <c r="AP7" s="430" t="s">
        <v>446</v>
      </c>
      <c r="AQ7" s="433" t="s">
        <v>366</v>
      </c>
      <c r="AR7" s="430" t="s">
        <v>446</v>
      </c>
      <c r="AS7" s="430" t="s">
        <v>446</v>
      </c>
      <c r="AT7" s="433" t="s">
        <v>79</v>
      </c>
      <c r="AU7" s="430" t="s">
        <v>446</v>
      </c>
      <c r="AV7" s="430" t="s">
        <v>446</v>
      </c>
      <c r="AW7" s="433" t="s">
        <v>366</v>
      </c>
      <c r="AX7" s="430" t="s">
        <v>446</v>
      </c>
      <c r="AY7" s="432" t="s">
        <v>78</v>
      </c>
      <c r="AZ7" s="430" t="s">
        <v>446</v>
      </c>
      <c r="BA7" s="430" t="s">
        <v>446</v>
      </c>
      <c r="BB7" s="430" t="s">
        <v>446</v>
      </c>
      <c r="BC7" s="430" t="s">
        <v>446</v>
      </c>
      <c r="BD7" s="430" t="s">
        <v>446</v>
      </c>
      <c r="BE7" s="430" t="s">
        <v>446</v>
      </c>
      <c r="BF7" s="430" t="s">
        <v>446</v>
      </c>
      <c r="BG7" s="430" t="s">
        <v>446</v>
      </c>
      <c r="BH7" s="432" t="s">
        <v>78</v>
      </c>
      <c r="BI7" s="430" t="s">
        <v>446</v>
      </c>
      <c r="BJ7" s="430" t="s">
        <v>446</v>
      </c>
      <c r="BK7" s="432" t="s">
        <v>79</v>
      </c>
      <c r="BL7" s="433" t="s">
        <v>366</v>
      </c>
      <c r="BM7" s="430" t="s">
        <v>446</v>
      </c>
      <c r="BN7" s="430" t="s">
        <v>446</v>
      </c>
      <c r="BO7" s="433" t="s">
        <v>79</v>
      </c>
      <c r="BP7" s="430" t="s">
        <v>446</v>
      </c>
      <c r="BQ7" s="432" t="s">
        <v>79</v>
      </c>
      <c r="BR7" s="433" t="s">
        <v>366</v>
      </c>
      <c r="BS7" s="430" t="s">
        <v>446</v>
      </c>
      <c r="BT7" s="432" t="s">
        <v>78</v>
      </c>
      <c r="BU7" s="430" t="s">
        <v>446</v>
      </c>
      <c r="BV7" s="430" t="s">
        <v>446</v>
      </c>
      <c r="BW7" s="430" t="s">
        <v>446</v>
      </c>
      <c r="BX7" s="430" t="s">
        <v>446</v>
      </c>
      <c r="BY7" s="430" t="s">
        <v>446</v>
      </c>
      <c r="BZ7" s="430" t="s">
        <v>446</v>
      </c>
      <c r="CA7" s="430" t="s">
        <v>446</v>
      </c>
      <c r="CB7" s="430" t="s">
        <v>446</v>
      </c>
      <c r="CC7" s="432" t="s">
        <v>78</v>
      </c>
      <c r="CD7" s="430" t="s">
        <v>446</v>
      </c>
      <c r="CE7" s="430" t="s">
        <v>446</v>
      </c>
      <c r="CF7" s="432" t="s">
        <v>79</v>
      </c>
      <c r="CG7" s="433" t="s">
        <v>366</v>
      </c>
      <c r="CH7" s="430" t="s">
        <v>446</v>
      </c>
      <c r="CI7" s="430" t="s">
        <v>446</v>
      </c>
      <c r="CJ7" s="433" t="s">
        <v>79</v>
      </c>
      <c r="CK7" s="430" t="s">
        <v>446</v>
      </c>
      <c r="CL7" s="432" t="s">
        <v>79</v>
      </c>
      <c r="CM7" s="433" t="s">
        <v>366</v>
      </c>
      <c r="CN7" s="430" t="s">
        <v>446</v>
      </c>
      <c r="CO7" s="432" t="s">
        <v>78</v>
      </c>
      <c r="CP7" s="430" t="s">
        <v>446</v>
      </c>
      <c r="CQ7" s="430" t="s">
        <v>446</v>
      </c>
      <c r="CR7" s="430" t="s">
        <v>446</v>
      </c>
      <c r="CS7" s="430" t="s">
        <v>446</v>
      </c>
      <c r="CT7" s="430" t="s">
        <v>446</v>
      </c>
      <c r="CU7" s="430" t="s">
        <v>446</v>
      </c>
      <c r="CV7" s="430" t="s">
        <v>446</v>
      </c>
      <c r="CW7" s="430" t="s">
        <v>446</v>
      </c>
      <c r="CX7" s="432" t="s">
        <v>78</v>
      </c>
      <c r="CY7" s="430" t="s">
        <v>446</v>
      </c>
      <c r="CZ7" s="430" t="s">
        <v>446</v>
      </c>
      <c r="DA7" s="432" t="s">
        <v>79</v>
      </c>
      <c r="DB7" s="433" t="s">
        <v>366</v>
      </c>
      <c r="DC7" s="430" t="s">
        <v>446</v>
      </c>
      <c r="DD7" s="430" t="s">
        <v>446</v>
      </c>
      <c r="DE7" s="433" t="s">
        <v>79</v>
      </c>
      <c r="DF7" s="430" t="s">
        <v>446</v>
      </c>
      <c r="DG7" s="432" t="s">
        <v>79</v>
      </c>
      <c r="DH7" s="433" t="s">
        <v>366</v>
      </c>
      <c r="DI7" s="430" t="s">
        <v>446</v>
      </c>
      <c r="DJ7" s="432" t="s">
        <v>78</v>
      </c>
      <c r="DK7" s="430" t="s">
        <v>446</v>
      </c>
      <c r="DL7" s="430" t="s">
        <v>446</v>
      </c>
      <c r="DM7" s="430" t="s">
        <v>446</v>
      </c>
      <c r="DN7" s="430" t="s">
        <v>446</v>
      </c>
      <c r="DO7" s="430" t="s">
        <v>446</v>
      </c>
      <c r="DP7" s="430" t="s">
        <v>446</v>
      </c>
      <c r="DQ7" s="430" t="s">
        <v>446</v>
      </c>
      <c r="DR7" s="430" t="s">
        <v>446</v>
      </c>
      <c r="DS7" s="432" t="s">
        <v>78</v>
      </c>
      <c r="DT7" s="430" t="s">
        <v>446</v>
      </c>
      <c r="DU7" s="430" t="s">
        <v>446</v>
      </c>
      <c r="DV7" s="432" t="s">
        <v>79</v>
      </c>
      <c r="DW7" s="433" t="s">
        <v>366</v>
      </c>
      <c r="DX7" s="430" t="s">
        <v>446</v>
      </c>
      <c r="DY7" s="430" t="s">
        <v>446</v>
      </c>
      <c r="DZ7" s="433" t="s">
        <v>79</v>
      </c>
      <c r="EA7" s="430" t="s">
        <v>446</v>
      </c>
      <c r="EB7" s="432" t="s">
        <v>79</v>
      </c>
      <c r="EC7" s="433" t="s">
        <v>366</v>
      </c>
      <c r="ED7" s="430" t="s">
        <v>446</v>
      </c>
      <c r="EE7" s="432" t="s">
        <v>78</v>
      </c>
      <c r="EF7" s="430" t="s">
        <v>446</v>
      </c>
      <c r="EG7" s="430" t="s">
        <v>446</v>
      </c>
      <c r="EH7" s="430" t="s">
        <v>446</v>
      </c>
      <c r="EI7" s="430" t="s">
        <v>446</v>
      </c>
      <c r="EJ7" s="430" t="s">
        <v>446</v>
      </c>
      <c r="EK7" s="430" t="s">
        <v>446</v>
      </c>
      <c r="EL7" s="430" t="s">
        <v>446</v>
      </c>
      <c r="EM7" s="430" t="s">
        <v>446</v>
      </c>
      <c r="EN7" s="432" t="s">
        <v>78</v>
      </c>
      <c r="EO7" s="430" t="s">
        <v>446</v>
      </c>
      <c r="EP7" s="430" t="s">
        <v>446</v>
      </c>
      <c r="EQ7" s="432" t="s">
        <v>79</v>
      </c>
      <c r="ER7" s="433" t="s">
        <v>366</v>
      </c>
      <c r="ES7" s="430" t="s">
        <v>446</v>
      </c>
      <c r="ET7" s="430" t="s">
        <v>446</v>
      </c>
      <c r="EU7" s="433" t="s">
        <v>79</v>
      </c>
      <c r="EV7" s="430" t="s">
        <v>446</v>
      </c>
      <c r="EW7" s="432" t="s">
        <v>79</v>
      </c>
      <c r="EX7" s="430" t="s">
        <v>446</v>
      </c>
      <c r="EY7" s="430" t="s">
        <v>446</v>
      </c>
      <c r="EZ7" s="432" t="s">
        <v>78</v>
      </c>
      <c r="FA7" s="430" t="s">
        <v>446</v>
      </c>
      <c r="FB7" s="430" t="s">
        <v>446</v>
      </c>
      <c r="FC7" s="430" t="s">
        <v>446</v>
      </c>
      <c r="FD7" s="430" t="s">
        <v>446</v>
      </c>
      <c r="FE7" s="430" t="s">
        <v>446</v>
      </c>
      <c r="FF7" s="430" t="s">
        <v>446</v>
      </c>
      <c r="FG7" s="430" t="s">
        <v>446</v>
      </c>
      <c r="FH7" s="430" t="s">
        <v>446</v>
      </c>
      <c r="FI7" s="430" t="s">
        <v>446</v>
      </c>
      <c r="FJ7" s="430" t="s">
        <v>446</v>
      </c>
      <c r="FK7" s="430" t="s">
        <v>446</v>
      </c>
      <c r="FL7" s="432" t="s">
        <v>79</v>
      </c>
      <c r="FM7" s="430" t="s">
        <v>446</v>
      </c>
      <c r="FN7" s="430" t="s">
        <v>446</v>
      </c>
      <c r="FO7" s="430" t="s">
        <v>446</v>
      </c>
      <c r="FP7" s="433" t="s">
        <v>79</v>
      </c>
      <c r="FQ7" s="430" t="s">
        <v>446</v>
      </c>
      <c r="FR7" s="432" t="s">
        <v>79</v>
      </c>
      <c r="FS7" s="430" t="s">
        <v>446</v>
      </c>
      <c r="FT7" s="430" t="s">
        <v>446</v>
      </c>
      <c r="FU7" s="430" t="s">
        <v>446</v>
      </c>
      <c r="FV7" s="430" t="s">
        <v>446</v>
      </c>
      <c r="FW7" s="430" t="s">
        <v>446</v>
      </c>
      <c r="FX7" s="430" t="s">
        <v>446</v>
      </c>
      <c r="FY7" s="430" t="s">
        <v>446</v>
      </c>
      <c r="FZ7" s="430" t="s">
        <v>446</v>
      </c>
      <c r="GA7" s="430" t="s">
        <v>446</v>
      </c>
      <c r="GB7" s="430" t="s">
        <v>446</v>
      </c>
      <c r="GC7" s="430" t="s">
        <v>446</v>
      </c>
      <c r="GD7" s="430" t="s">
        <v>446</v>
      </c>
      <c r="GE7" s="430" t="s">
        <v>446</v>
      </c>
      <c r="GF7" s="430" t="s">
        <v>446</v>
      </c>
      <c r="GG7" s="432" t="s">
        <v>79</v>
      </c>
      <c r="GH7" s="430" t="s">
        <v>446</v>
      </c>
      <c r="GI7" s="430" t="s">
        <v>446</v>
      </c>
      <c r="GJ7" s="430" t="s">
        <v>446</v>
      </c>
      <c r="GK7" s="433" t="s">
        <v>79</v>
      </c>
      <c r="GL7" s="430" t="s">
        <v>446</v>
      </c>
      <c r="GM7" s="432" t="s">
        <v>79</v>
      </c>
      <c r="GN7" s="430" t="s">
        <v>446</v>
      </c>
      <c r="GO7" s="430" t="s">
        <v>446</v>
      </c>
      <c r="GP7" s="430" t="s">
        <v>446</v>
      </c>
      <c r="GQ7" s="430" t="s">
        <v>446</v>
      </c>
      <c r="GR7" s="430" t="s">
        <v>446</v>
      </c>
      <c r="GS7" s="430" t="s">
        <v>446</v>
      </c>
      <c r="GT7" s="430" t="s">
        <v>446</v>
      </c>
      <c r="GU7" s="430" t="s">
        <v>446</v>
      </c>
      <c r="GV7" s="430" t="s">
        <v>446</v>
      </c>
      <c r="GW7" s="430" t="s">
        <v>446</v>
      </c>
      <c r="GX7" s="430" t="s">
        <v>446</v>
      </c>
      <c r="GY7" s="430" t="s">
        <v>446</v>
      </c>
      <c r="GZ7" s="430" t="s">
        <v>446</v>
      </c>
      <c r="HA7" s="430" t="s">
        <v>446</v>
      </c>
      <c r="HB7" s="432" t="s">
        <v>79</v>
      </c>
      <c r="HC7" s="430" t="s">
        <v>446</v>
      </c>
      <c r="HD7" s="430" t="s">
        <v>446</v>
      </c>
      <c r="HE7" s="430" t="s">
        <v>446</v>
      </c>
      <c r="HF7" s="433" t="s">
        <v>79</v>
      </c>
      <c r="HG7" s="430" t="s">
        <v>446</v>
      </c>
      <c r="HH7" s="432" t="s">
        <v>79</v>
      </c>
      <c r="HI7" s="430" t="s">
        <v>446</v>
      </c>
      <c r="HJ7" s="430" t="s">
        <v>446</v>
      </c>
      <c r="HK7" s="430" t="s">
        <v>446</v>
      </c>
      <c r="HL7" s="430" t="s">
        <v>446</v>
      </c>
      <c r="HM7" s="430" t="s">
        <v>446</v>
      </c>
      <c r="HN7" s="430" t="s">
        <v>446</v>
      </c>
      <c r="HO7" s="430" t="s">
        <v>446</v>
      </c>
      <c r="HP7" s="430" t="s">
        <v>446</v>
      </c>
      <c r="HQ7" s="430" t="s">
        <v>446</v>
      </c>
      <c r="HR7" s="430" t="s">
        <v>446</v>
      </c>
      <c r="HS7" s="430" t="s">
        <v>446</v>
      </c>
      <c r="HT7" s="430" t="s">
        <v>446</v>
      </c>
      <c r="HU7" s="430" t="s">
        <v>446</v>
      </c>
      <c r="HV7" s="430" t="s">
        <v>446</v>
      </c>
      <c r="HW7" s="432" t="s">
        <v>79</v>
      </c>
      <c r="HX7" s="430" t="s">
        <v>446</v>
      </c>
      <c r="HY7" s="430" t="s">
        <v>446</v>
      </c>
      <c r="HZ7" s="430" t="s">
        <v>446</v>
      </c>
      <c r="IA7" s="433" t="s">
        <v>79</v>
      </c>
      <c r="IB7" s="430" t="s">
        <v>446</v>
      </c>
      <c r="IC7" s="432" t="s">
        <v>79</v>
      </c>
      <c r="ID7" s="430" t="s">
        <v>446</v>
      </c>
      <c r="IE7" s="430" t="s">
        <v>446</v>
      </c>
      <c r="IF7" s="430" t="s">
        <v>446</v>
      </c>
      <c r="IG7" s="430" t="s">
        <v>446</v>
      </c>
      <c r="IH7" s="430" t="s">
        <v>446</v>
      </c>
      <c r="II7" s="430" t="s">
        <v>446</v>
      </c>
      <c r="IJ7" s="430" t="s">
        <v>446</v>
      </c>
      <c r="IK7" s="430" t="s">
        <v>446</v>
      </c>
      <c r="IL7" s="430" t="s">
        <v>446</v>
      </c>
      <c r="IM7" s="430" t="s">
        <v>446</v>
      </c>
      <c r="IN7" s="430" t="s">
        <v>446</v>
      </c>
      <c r="IO7" s="430" t="s">
        <v>446</v>
      </c>
      <c r="IP7" s="430" t="s">
        <v>446</v>
      </c>
      <c r="IQ7" s="430" t="s">
        <v>446</v>
      </c>
      <c r="IR7" s="432" t="s">
        <v>79</v>
      </c>
      <c r="IS7" s="430" t="s">
        <v>446</v>
      </c>
      <c r="IT7" s="430" t="s">
        <v>446</v>
      </c>
      <c r="IU7" s="430" t="s">
        <v>446</v>
      </c>
      <c r="IV7" s="433" t="s">
        <v>79</v>
      </c>
      <c r="IW7" s="430" t="s">
        <v>446</v>
      </c>
      <c r="IX7" s="432" t="s">
        <v>79</v>
      </c>
      <c r="IY7" s="430" t="s">
        <v>446</v>
      </c>
      <c r="IZ7" s="430" t="s">
        <v>446</v>
      </c>
      <c r="JA7" s="430" t="s">
        <v>446</v>
      </c>
      <c r="JB7" s="430" t="s">
        <v>446</v>
      </c>
      <c r="JC7" s="430" t="s">
        <v>446</v>
      </c>
      <c r="JD7" s="430" t="s">
        <v>446</v>
      </c>
      <c r="JE7" s="430" t="s">
        <v>446</v>
      </c>
      <c r="JF7" s="430" t="s">
        <v>446</v>
      </c>
      <c r="JG7" s="430" t="s">
        <v>446</v>
      </c>
      <c r="JH7" s="430" t="s">
        <v>446</v>
      </c>
      <c r="JI7" s="430" t="s">
        <v>446</v>
      </c>
      <c r="JJ7" s="430" t="s">
        <v>446</v>
      </c>
      <c r="JK7" s="430" t="s">
        <v>446</v>
      </c>
      <c r="JL7" s="430" t="s">
        <v>446</v>
      </c>
      <c r="JM7" s="430" t="s">
        <v>446</v>
      </c>
      <c r="JN7" s="430" t="s">
        <v>446</v>
      </c>
      <c r="JO7" s="430" t="s">
        <v>446</v>
      </c>
      <c r="JP7" s="430" t="s">
        <v>446</v>
      </c>
      <c r="JQ7" s="433" t="s">
        <v>79</v>
      </c>
      <c r="JR7" s="430" t="s">
        <v>446</v>
      </c>
      <c r="JS7" s="430" t="s">
        <v>446</v>
      </c>
      <c r="JT7" s="430" t="s">
        <v>446</v>
      </c>
      <c r="JU7" s="430" t="s">
        <v>446</v>
      </c>
      <c r="JV7" s="430" t="s">
        <v>446</v>
      </c>
      <c r="JW7" s="430" t="s">
        <v>446</v>
      </c>
      <c r="JX7" s="430" t="s">
        <v>446</v>
      </c>
      <c r="JY7" s="430" t="s">
        <v>446</v>
      </c>
      <c r="JZ7" s="430" t="s">
        <v>446</v>
      </c>
      <c r="KA7" s="430" t="s">
        <v>446</v>
      </c>
      <c r="KB7" s="430" t="s">
        <v>446</v>
      </c>
      <c r="KC7" s="430" t="s">
        <v>446</v>
      </c>
      <c r="KD7" s="430" t="s">
        <v>446</v>
      </c>
      <c r="KE7" s="430" t="s">
        <v>446</v>
      </c>
      <c r="KF7" s="430" t="s">
        <v>446</v>
      </c>
      <c r="KG7" s="430" t="s">
        <v>446</v>
      </c>
      <c r="KH7" s="430" t="s">
        <v>446</v>
      </c>
      <c r="KI7" s="430" t="s">
        <v>446</v>
      </c>
      <c r="KJ7" s="430" t="s">
        <v>446</v>
      </c>
      <c r="KK7" s="430" t="s">
        <v>446</v>
      </c>
      <c r="KL7" s="433" t="s">
        <v>79</v>
      </c>
      <c r="KM7" s="430" t="s">
        <v>446</v>
      </c>
      <c r="KN7" s="430" t="s">
        <v>446</v>
      </c>
      <c r="KO7" s="430" t="s">
        <v>446</v>
      </c>
      <c r="KP7" s="430" t="s">
        <v>446</v>
      </c>
      <c r="KQ7" s="430" t="s">
        <v>446</v>
      </c>
      <c r="KR7" s="430" t="s">
        <v>446</v>
      </c>
      <c r="KS7" s="430" t="s">
        <v>446</v>
      </c>
      <c r="KT7" s="430" t="s">
        <v>446</v>
      </c>
      <c r="KU7" s="430" t="s">
        <v>446</v>
      </c>
      <c r="KV7" s="430" t="s">
        <v>446</v>
      </c>
      <c r="KW7" s="430" t="s">
        <v>446</v>
      </c>
      <c r="KX7" s="430" t="s">
        <v>446</v>
      </c>
      <c r="KY7" s="430" t="s">
        <v>446</v>
      </c>
      <c r="KZ7" s="430" t="s">
        <v>446</v>
      </c>
      <c r="LA7" s="430" t="s">
        <v>446</v>
      </c>
      <c r="LB7" s="430" t="s">
        <v>446</v>
      </c>
      <c r="LC7" s="430" t="s">
        <v>446</v>
      </c>
      <c r="LD7" s="430" t="s">
        <v>446</v>
      </c>
      <c r="LE7" s="430" t="s">
        <v>446</v>
      </c>
      <c r="LF7" s="430" t="s">
        <v>446</v>
      </c>
      <c r="LG7" s="433" t="s">
        <v>79</v>
      </c>
      <c r="LH7" s="430" t="s">
        <v>446</v>
      </c>
      <c r="LI7" s="430" t="s">
        <v>446</v>
      </c>
      <c r="LJ7" s="430" t="s">
        <v>446</v>
      </c>
      <c r="LK7" s="430" t="s">
        <v>446</v>
      </c>
      <c r="LL7" s="430" t="s">
        <v>446</v>
      </c>
      <c r="LM7" s="430" t="s">
        <v>446</v>
      </c>
      <c r="LN7" s="430" t="s">
        <v>446</v>
      </c>
      <c r="LO7" s="430" t="s">
        <v>446</v>
      </c>
      <c r="LP7" s="430" t="s">
        <v>446</v>
      </c>
      <c r="LQ7" s="430" t="s">
        <v>446</v>
      </c>
      <c r="LR7" s="430" t="s">
        <v>446</v>
      </c>
      <c r="LS7" s="430" t="s">
        <v>446</v>
      </c>
      <c r="LT7" s="430" t="s">
        <v>446</v>
      </c>
      <c r="LU7" s="430" t="s">
        <v>446</v>
      </c>
      <c r="LV7" s="430" t="s">
        <v>446</v>
      </c>
      <c r="LW7" s="430" t="s">
        <v>446</v>
      </c>
      <c r="LX7" s="430" t="s">
        <v>446</v>
      </c>
      <c r="LY7" s="430" t="s">
        <v>446</v>
      </c>
      <c r="LZ7" s="430" t="s">
        <v>446</v>
      </c>
      <c r="MA7" s="430" t="s">
        <v>446</v>
      </c>
      <c r="MB7" s="433" t="s">
        <v>79</v>
      </c>
      <c r="MC7" s="430" t="s">
        <v>446</v>
      </c>
      <c r="MD7" s="430" t="s">
        <v>446</v>
      </c>
      <c r="ME7" s="430" t="s">
        <v>446</v>
      </c>
      <c r="MF7" s="430" t="s">
        <v>446</v>
      </c>
      <c r="MG7" s="430" t="s">
        <v>446</v>
      </c>
      <c r="MH7" s="430" t="s">
        <v>446</v>
      </c>
      <c r="MI7" s="430" t="s">
        <v>446</v>
      </c>
      <c r="MJ7" s="430" t="s">
        <v>446</v>
      </c>
      <c r="MK7" s="430" t="s">
        <v>446</v>
      </c>
      <c r="ML7" s="430" t="s">
        <v>446</v>
      </c>
      <c r="MM7" s="430" t="s">
        <v>446</v>
      </c>
      <c r="MN7" s="430" t="s">
        <v>446</v>
      </c>
      <c r="MO7" s="430" t="s">
        <v>446</v>
      </c>
      <c r="MP7" s="430" t="s">
        <v>446</v>
      </c>
      <c r="MQ7" s="430" t="s">
        <v>446</v>
      </c>
      <c r="MR7" s="430" t="s">
        <v>446</v>
      </c>
      <c r="MS7" s="430" t="s">
        <v>446</v>
      </c>
      <c r="MT7" s="430" t="s">
        <v>446</v>
      </c>
      <c r="MU7" s="430" t="s">
        <v>446</v>
      </c>
      <c r="MV7" s="430" t="s">
        <v>446</v>
      </c>
      <c r="MW7" s="433" t="s">
        <v>79</v>
      </c>
      <c r="MX7" s="430" t="s">
        <v>446</v>
      </c>
      <c r="MY7" s="430" t="s">
        <v>446</v>
      </c>
      <c r="MZ7" s="430" t="s">
        <v>446</v>
      </c>
      <c r="NA7" s="430" t="s">
        <v>446</v>
      </c>
      <c r="NB7" s="430" t="s">
        <v>446</v>
      </c>
      <c r="NC7" s="430" t="s">
        <v>446</v>
      </c>
      <c r="ND7" s="430" t="s">
        <v>446</v>
      </c>
      <c r="NE7" s="430" t="s">
        <v>446</v>
      </c>
      <c r="NF7" s="430" t="s">
        <v>446</v>
      </c>
      <c r="NG7" s="430" t="s">
        <v>446</v>
      </c>
      <c r="NH7" s="430" t="s">
        <v>446</v>
      </c>
      <c r="NI7" s="430" t="s">
        <v>446</v>
      </c>
      <c r="NJ7" s="430" t="s">
        <v>446</v>
      </c>
      <c r="NK7" s="430" t="s">
        <v>446</v>
      </c>
      <c r="NL7" s="430" t="s">
        <v>446</v>
      </c>
      <c r="NM7" s="430" t="s">
        <v>446</v>
      </c>
      <c r="NN7" s="430" t="s">
        <v>446</v>
      </c>
      <c r="NO7" s="430" t="s">
        <v>446</v>
      </c>
      <c r="NP7" s="430" t="s">
        <v>446</v>
      </c>
      <c r="NQ7" s="430" t="s">
        <v>446</v>
      </c>
      <c r="NR7" s="433" t="s">
        <v>79</v>
      </c>
      <c r="NS7" s="430" t="s">
        <v>446</v>
      </c>
      <c r="NT7" s="430" t="s">
        <v>446</v>
      </c>
      <c r="NU7" s="430" t="s">
        <v>446</v>
      </c>
      <c r="NV7" s="430" t="s">
        <v>446</v>
      </c>
      <c r="NW7" s="430" t="s">
        <v>446</v>
      </c>
      <c r="NX7" s="430" t="s">
        <v>446</v>
      </c>
      <c r="NY7" s="430" t="s">
        <v>446</v>
      </c>
      <c r="NZ7" s="430" t="s">
        <v>446</v>
      </c>
      <c r="OA7" s="430" t="s">
        <v>446</v>
      </c>
      <c r="OB7" s="430" t="s">
        <v>446</v>
      </c>
      <c r="OC7" s="430" t="s">
        <v>446</v>
      </c>
      <c r="OD7" s="430" t="s">
        <v>446</v>
      </c>
      <c r="OE7" s="430" t="s">
        <v>446</v>
      </c>
      <c r="OF7" s="430" t="s">
        <v>446</v>
      </c>
      <c r="OG7" s="430" t="s">
        <v>446</v>
      </c>
      <c r="OH7" s="430" t="s">
        <v>446</v>
      </c>
      <c r="OI7" s="430" t="s">
        <v>446</v>
      </c>
      <c r="OJ7" s="430" t="s">
        <v>446</v>
      </c>
      <c r="OK7" s="430" t="s">
        <v>446</v>
      </c>
      <c r="OL7" s="430" t="s">
        <v>446</v>
      </c>
      <c r="OM7" s="433" t="s">
        <v>79</v>
      </c>
      <c r="ON7" s="430" t="s">
        <v>446</v>
      </c>
      <c r="OO7" s="430" t="s">
        <v>446</v>
      </c>
      <c r="OP7" s="430" t="s">
        <v>446</v>
      </c>
      <c r="OQ7" s="430" t="s">
        <v>446</v>
      </c>
      <c r="OR7" s="430" t="s">
        <v>446</v>
      </c>
      <c r="OS7" s="430" t="s">
        <v>446</v>
      </c>
      <c r="OT7" s="430" t="s">
        <v>446</v>
      </c>
      <c r="OU7" s="430" t="s">
        <v>446</v>
      </c>
      <c r="OV7" s="430" t="s">
        <v>446</v>
      </c>
      <c r="OW7" s="430" t="s">
        <v>446</v>
      </c>
      <c r="OX7" s="430" t="s">
        <v>446</v>
      </c>
      <c r="OY7" s="430" t="s">
        <v>446</v>
      </c>
      <c r="OZ7" s="430" t="s">
        <v>446</v>
      </c>
      <c r="PA7" s="430" t="s">
        <v>446</v>
      </c>
      <c r="PB7" s="430" t="s">
        <v>446</v>
      </c>
      <c r="PC7" s="430" t="s">
        <v>446</v>
      </c>
      <c r="PD7" s="430" t="s">
        <v>446</v>
      </c>
      <c r="PE7" s="430" t="s">
        <v>446</v>
      </c>
      <c r="PF7" s="430" t="s">
        <v>446</v>
      </c>
      <c r="PG7" s="430" t="s">
        <v>446</v>
      </c>
      <c r="PH7" s="433" t="s">
        <v>79</v>
      </c>
      <c r="PI7" s="430" t="s">
        <v>446</v>
      </c>
      <c r="PJ7" s="430" t="s">
        <v>446</v>
      </c>
      <c r="PK7" s="430" t="s">
        <v>446</v>
      </c>
      <c r="PL7" s="430" t="s">
        <v>446</v>
      </c>
      <c r="PM7" s="430" t="s">
        <v>446</v>
      </c>
      <c r="PN7" s="430" t="s">
        <v>446</v>
      </c>
      <c r="PO7" s="430" t="s">
        <v>446</v>
      </c>
      <c r="PP7" s="430" t="s">
        <v>446</v>
      </c>
      <c r="PQ7" s="430" t="s">
        <v>446</v>
      </c>
      <c r="PR7" s="430" t="s">
        <v>446</v>
      </c>
      <c r="PS7" s="430" t="s">
        <v>446</v>
      </c>
      <c r="PT7" s="430" t="s">
        <v>446</v>
      </c>
      <c r="PU7" s="430" t="s">
        <v>446</v>
      </c>
      <c r="PV7" s="430" t="s">
        <v>446</v>
      </c>
      <c r="PW7" s="430" t="s">
        <v>446</v>
      </c>
      <c r="PX7" s="430" t="s">
        <v>446</v>
      </c>
      <c r="PY7" s="430" t="s">
        <v>446</v>
      </c>
      <c r="PZ7" s="430" t="s">
        <v>446</v>
      </c>
      <c r="QA7" s="430" t="s">
        <v>446</v>
      </c>
      <c r="QB7" s="430" t="s">
        <v>446</v>
      </c>
      <c r="QC7" s="433" t="s">
        <v>79</v>
      </c>
      <c r="QD7" s="430" t="s">
        <v>446</v>
      </c>
      <c r="QE7" s="430" t="s">
        <v>446</v>
      </c>
      <c r="QF7" s="430" t="s">
        <v>446</v>
      </c>
      <c r="QG7" s="430" t="s">
        <v>446</v>
      </c>
      <c r="QH7" s="430" t="s">
        <v>446</v>
      </c>
      <c r="QI7" s="430" t="s">
        <v>446</v>
      </c>
      <c r="QJ7" s="430" t="s">
        <v>446</v>
      </c>
      <c r="QK7" s="430" t="s">
        <v>446</v>
      </c>
      <c r="QL7" s="430" t="s">
        <v>446</v>
      </c>
      <c r="QM7" s="430" t="s">
        <v>446</v>
      </c>
      <c r="QN7" s="430" t="s">
        <v>446</v>
      </c>
      <c r="QO7" s="442" t="s">
        <v>446</v>
      </c>
    </row>
    <row r="8" spans="1:457" ht="30" customHeight="1" x14ac:dyDescent="0.25">
      <c r="A8" s="431" t="str">
        <f>Salas!A7</f>
        <v>07 - Sala de Aula</v>
      </c>
      <c r="B8" s="429" t="s">
        <v>446</v>
      </c>
      <c r="C8" s="430" t="s">
        <v>446</v>
      </c>
      <c r="D8" s="430" t="s">
        <v>446</v>
      </c>
      <c r="E8" s="430" t="s">
        <v>446</v>
      </c>
      <c r="F8" s="430" t="s">
        <v>446</v>
      </c>
      <c r="G8" s="430" t="s">
        <v>446</v>
      </c>
      <c r="H8" s="430" t="s">
        <v>446</v>
      </c>
      <c r="I8" s="430" t="s">
        <v>446</v>
      </c>
      <c r="J8" s="430" t="s">
        <v>446</v>
      </c>
      <c r="K8" s="430" t="s">
        <v>446</v>
      </c>
      <c r="L8" s="430" t="s">
        <v>446</v>
      </c>
      <c r="M8" s="430" t="s">
        <v>446</v>
      </c>
      <c r="N8" s="430" t="s">
        <v>446</v>
      </c>
      <c r="O8" s="430" t="s">
        <v>446</v>
      </c>
      <c r="P8" s="430" t="s">
        <v>446</v>
      </c>
      <c r="Q8" s="430" t="s">
        <v>446</v>
      </c>
      <c r="R8" s="430" t="s">
        <v>446</v>
      </c>
      <c r="S8" s="430" t="s">
        <v>446</v>
      </c>
      <c r="T8" s="430" t="s">
        <v>446</v>
      </c>
      <c r="U8" s="430" t="s">
        <v>446</v>
      </c>
      <c r="V8" s="430" t="s">
        <v>446</v>
      </c>
      <c r="W8" s="430" t="s">
        <v>446</v>
      </c>
      <c r="X8" s="430" t="s">
        <v>446</v>
      </c>
      <c r="Y8" s="430" t="s">
        <v>446</v>
      </c>
      <c r="Z8" s="430" t="s">
        <v>446</v>
      </c>
      <c r="AA8" s="430" t="s">
        <v>446</v>
      </c>
      <c r="AB8" s="430" t="s">
        <v>446</v>
      </c>
      <c r="AC8" s="430" t="s">
        <v>446</v>
      </c>
      <c r="AD8" s="430" t="s">
        <v>446</v>
      </c>
      <c r="AE8" s="430" t="s">
        <v>446</v>
      </c>
      <c r="AF8" s="430" t="s">
        <v>446</v>
      </c>
      <c r="AG8" s="430" t="s">
        <v>446</v>
      </c>
      <c r="AH8" s="430" t="s">
        <v>446</v>
      </c>
      <c r="AI8" s="430" t="s">
        <v>446</v>
      </c>
      <c r="AJ8" s="430" t="s">
        <v>446</v>
      </c>
      <c r="AK8" s="430" t="s">
        <v>446</v>
      </c>
      <c r="AL8" s="430" t="s">
        <v>446</v>
      </c>
      <c r="AM8" s="430" t="s">
        <v>446</v>
      </c>
      <c r="AN8" s="430" t="s">
        <v>446</v>
      </c>
      <c r="AO8" s="430" t="s">
        <v>446</v>
      </c>
      <c r="AP8" s="430" t="s">
        <v>446</v>
      </c>
      <c r="AQ8" s="430" t="s">
        <v>446</v>
      </c>
      <c r="AR8" s="430" t="s">
        <v>446</v>
      </c>
      <c r="AS8" s="430" t="s">
        <v>446</v>
      </c>
      <c r="AT8" s="430" t="s">
        <v>446</v>
      </c>
      <c r="AU8" s="430" t="s">
        <v>446</v>
      </c>
      <c r="AV8" s="430" t="s">
        <v>446</v>
      </c>
      <c r="AW8" s="430" t="s">
        <v>446</v>
      </c>
      <c r="AX8" s="430" t="s">
        <v>446</v>
      </c>
      <c r="AY8" s="430" t="s">
        <v>446</v>
      </c>
      <c r="AZ8" s="430" t="s">
        <v>446</v>
      </c>
      <c r="BA8" s="430" t="s">
        <v>446</v>
      </c>
      <c r="BB8" s="430" t="s">
        <v>446</v>
      </c>
      <c r="BC8" s="430" t="s">
        <v>446</v>
      </c>
      <c r="BD8" s="430" t="s">
        <v>446</v>
      </c>
      <c r="BE8" s="430" t="s">
        <v>446</v>
      </c>
      <c r="BF8" s="430" t="s">
        <v>446</v>
      </c>
      <c r="BG8" s="430" t="s">
        <v>446</v>
      </c>
      <c r="BH8" s="430" t="s">
        <v>446</v>
      </c>
      <c r="BI8" s="430" t="s">
        <v>446</v>
      </c>
      <c r="BJ8" s="430" t="s">
        <v>446</v>
      </c>
      <c r="BK8" s="430" t="s">
        <v>446</v>
      </c>
      <c r="BL8" s="430" t="s">
        <v>446</v>
      </c>
      <c r="BM8" s="430" t="s">
        <v>446</v>
      </c>
      <c r="BN8" s="430" t="s">
        <v>446</v>
      </c>
      <c r="BO8" s="430" t="s">
        <v>446</v>
      </c>
      <c r="BP8" s="430" t="s">
        <v>446</v>
      </c>
      <c r="BQ8" s="430" t="s">
        <v>446</v>
      </c>
      <c r="BR8" s="430" t="s">
        <v>446</v>
      </c>
      <c r="BS8" s="430" t="s">
        <v>446</v>
      </c>
      <c r="BT8" s="430" t="s">
        <v>446</v>
      </c>
      <c r="BU8" s="430" t="s">
        <v>446</v>
      </c>
      <c r="BV8" s="430" t="s">
        <v>446</v>
      </c>
      <c r="BW8" s="430" t="s">
        <v>446</v>
      </c>
      <c r="BX8" s="430" t="s">
        <v>446</v>
      </c>
      <c r="BY8" s="430" t="s">
        <v>446</v>
      </c>
      <c r="BZ8" s="430" t="s">
        <v>446</v>
      </c>
      <c r="CA8" s="430" t="s">
        <v>446</v>
      </c>
      <c r="CB8" s="430" t="s">
        <v>446</v>
      </c>
      <c r="CC8" s="430" t="s">
        <v>446</v>
      </c>
      <c r="CD8" s="430" t="s">
        <v>446</v>
      </c>
      <c r="CE8" s="430" t="s">
        <v>446</v>
      </c>
      <c r="CF8" s="430" t="s">
        <v>446</v>
      </c>
      <c r="CG8" s="430" t="s">
        <v>446</v>
      </c>
      <c r="CH8" s="430" t="s">
        <v>446</v>
      </c>
      <c r="CI8" s="430" t="s">
        <v>446</v>
      </c>
      <c r="CJ8" s="430" t="s">
        <v>446</v>
      </c>
      <c r="CK8" s="430" t="s">
        <v>446</v>
      </c>
      <c r="CL8" s="430" t="s">
        <v>446</v>
      </c>
      <c r="CM8" s="430" t="s">
        <v>446</v>
      </c>
      <c r="CN8" s="430" t="s">
        <v>446</v>
      </c>
      <c r="CO8" s="430" t="s">
        <v>446</v>
      </c>
      <c r="CP8" s="430" t="s">
        <v>446</v>
      </c>
      <c r="CQ8" s="430" t="s">
        <v>446</v>
      </c>
      <c r="CR8" s="430" t="s">
        <v>446</v>
      </c>
      <c r="CS8" s="430" t="s">
        <v>446</v>
      </c>
      <c r="CT8" s="430" t="s">
        <v>446</v>
      </c>
      <c r="CU8" s="430" t="s">
        <v>446</v>
      </c>
      <c r="CV8" s="430" t="s">
        <v>446</v>
      </c>
      <c r="CW8" s="430" t="s">
        <v>446</v>
      </c>
      <c r="CX8" s="430" t="s">
        <v>446</v>
      </c>
      <c r="CY8" s="430" t="s">
        <v>446</v>
      </c>
      <c r="CZ8" s="430" t="s">
        <v>446</v>
      </c>
      <c r="DA8" s="430" t="s">
        <v>446</v>
      </c>
      <c r="DB8" s="430" t="s">
        <v>446</v>
      </c>
      <c r="DC8" s="430" t="s">
        <v>446</v>
      </c>
      <c r="DD8" s="430" t="s">
        <v>446</v>
      </c>
      <c r="DE8" s="430" t="s">
        <v>446</v>
      </c>
      <c r="DF8" s="430" t="s">
        <v>446</v>
      </c>
      <c r="DG8" s="430" t="s">
        <v>446</v>
      </c>
      <c r="DH8" s="430" t="s">
        <v>446</v>
      </c>
      <c r="DI8" s="430" t="s">
        <v>446</v>
      </c>
      <c r="DJ8" s="430" t="s">
        <v>446</v>
      </c>
      <c r="DK8" s="430" t="s">
        <v>446</v>
      </c>
      <c r="DL8" s="430" t="s">
        <v>446</v>
      </c>
      <c r="DM8" s="430" t="s">
        <v>446</v>
      </c>
      <c r="DN8" s="430" t="s">
        <v>446</v>
      </c>
      <c r="DO8" s="430" t="s">
        <v>446</v>
      </c>
      <c r="DP8" s="430" t="s">
        <v>446</v>
      </c>
      <c r="DQ8" s="430" t="s">
        <v>446</v>
      </c>
      <c r="DR8" s="430" t="s">
        <v>446</v>
      </c>
      <c r="DS8" s="430" t="s">
        <v>446</v>
      </c>
      <c r="DT8" s="430" t="s">
        <v>446</v>
      </c>
      <c r="DU8" s="430" t="s">
        <v>446</v>
      </c>
      <c r="DV8" s="430" t="s">
        <v>446</v>
      </c>
      <c r="DW8" s="430" t="s">
        <v>446</v>
      </c>
      <c r="DX8" s="430" t="s">
        <v>446</v>
      </c>
      <c r="DY8" s="430" t="s">
        <v>446</v>
      </c>
      <c r="DZ8" s="430" t="s">
        <v>446</v>
      </c>
      <c r="EA8" s="430" t="s">
        <v>446</v>
      </c>
      <c r="EB8" s="430" t="s">
        <v>446</v>
      </c>
      <c r="EC8" s="430" t="s">
        <v>446</v>
      </c>
      <c r="ED8" s="430" t="s">
        <v>446</v>
      </c>
      <c r="EE8" s="430" t="s">
        <v>446</v>
      </c>
      <c r="EF8" s="430" t="s">
        <v>446</v>
      </c>
      <c r="EG8" s="430" t="s">
        <v>446</v>
      </c>
      <c r="EH8" s="430" t="s">
        <v>446</v>
      </c>
      <c r="EI8" s="430" t="s">
        <v>446</v>
      </c>
      <c r="EJ8" s="430" t="s">
        <v>446</v>
      </c>
      <c r="EK8" s="430" t="s">
        <v>446</v>
      </c>
      <c r="EL8" s="430" t="s">
        <v>446</v>
      </c>
      <c r="EM8" s="430" t="s">
        <v>446</v>
      </c>
      <c r="EN8" s="430" t="s">
        <v>446</v>
      </c>
      <c r="EO8" s="430" t="s">
        <v>446</v>
      </c>
      <c r="EP8" s="430" t="s">
        <v>446</v>
      </c>
      <c r="EQ8" s="430" t="s">
        <v>446</v>
      </c>
      <c r="ER8" s="430" t="s">
        <v>446</v>
      </c>
      <c r="ES8" s="430" t="s">
        <v>446</v>
      </c>
      <c r="ET8" s="430" t="s">
        <v>446</v>
      </c>
      <c r="EU8" s="430" t="s">
        <v>446</v>
      </c>
      <c r="EV8" s="430" t="s">
        <v>446</v>
      </c>
      <c r="EW8" s="430" t="s">
        <v>446</v>
      </c>
      <c r="EX8" s="430" t="s">
        <v>446</v>
      </c>
      <c r="EY8" s="430" t="s">
        <v>446</v>
      </c>
      <c r="EZ8" s="430" t="s">
        <v>446</v>
      </c>
      <c r="FA8" s="430" t="s">
        <v>446</v>
      </c>
      <c r="FB8" s="430" t="s">
        <v>446</v>
      </c>
      <c r="FC8" s="430" t="s">
        <v>446</v>
      </c>
      <c r="FD8" s="430" t="s">
        <v>446</v>
      </c>
      <c r="FE8" s="430" t="s">
        <v>446</v>
      </c>
      <c r="FF8" s="430" t="s">
        <v>446</v>
      </c>
      <c r="FG8" s="430" t="s">
        <v>446</v>
      </c>
      <c r="FH8" s="430" t="s">
        <v>446</v>
      </c>
      <c r="FI8" s="430" t="s">
        <v>446</v>
      </c>
      <c r="FJ8" s="430" t="s">
        <v>446</v>
      </c>
      <c r="FK8" s="430" t="s">
        <v>446</v>
      </c>
      <c r="FL8" s="430" t="s">
        <v>446</v>
      </c>
      <c r="FM8" s="430" t="s">
        <v>446</v>
      </c>
      <c r="FN8" s="430" t="s">
        <v>446</v>
      </c>
      <c r="FO8" s="430" t="s">
        <v>446</v>
      </c>
      <c r="FP8" s="430" t="s">
        <v>446</v>
      </c>
      <c r="FQ8" s="430" t="s">
        <v>446</v>
      </c>
      <c r="FR8" s="430" t="s">
        <v>446</v>
      </c>
      <c r="FS8" s="430" t="s">
        <v>446</v>
      </c>
      <c r="FT8" s="430" t="s">
        <v>446</v>
      </c>
      <c r="FU8" s="430" t="s">
        <v>446</v>
      </c>
      <c r="FV8" s="430" t="s">
        <v>446</v>
      </c>
      <c r="FW8" s="430" t="s">
        <v>446</v>
      </c>
      <c r="FX8" s="430" t="s">
        <v>446</v>
      </c>
      <c r="FY8" s="430" t="s">
        <v>446</v>
      </c>
      <c r="FZ8" s="430" t="s">
        <v>446</v>
      </c>
      <c r="GA8" s="430" t="s">
        <v>446</v>
      </c>
      <c r="GB8" s="430" t="s">
        <v>446</v>
      </c>
      <c r="GC8" s="430" t="s">
        <v>446</v>
      </c>
      <c r="GD8" s="430" t="s">
        <v>446</v>
      </c>
      <c r="GE8" s="430" t="s">
        <v>446</v>
      </c>
      <c r="GF8" s="430" t="s">
        <v>446</v>
      </c>
      <c r="GG8" s="430" t="s">
        <v>446</v>
      </c>
      <c r="GH8" s="430" t="s">
        <v>446</v>
      </c>
      <c r="GI8" s="430" t="s">
        <v>446</v>
      </c>
      <c r="GJ8" s="430" t="s">
        <v>446</v>
      </c>
      <c r="GK8" s="430" t="s">
        <v>446</v>
      </c>
      <c r="GL8" s="430" t="s">
        <v>446</v>
      </c>
      <c r="GM8" s="430" t="s">
        <v>446</v>
      </c>
      <c r="GN8" s="430" t="s">
        <v>446</v>
      </c>
      <c r="GO8" s="430" t="s">
        <v>446</v>
      </c>
      <c r="GP8" s="430" t="s">
        <v>446</v>
      </c>
      <c r="GQ8" s="430" t="s">
        <v>446</v>
      </c>
      <c r="GR8" s="430" t="s">
        <v>446</v>
      </c>
      <c r="GS8" s="430" t="s">
        <v>446</v>
      </c>
      <c r="GT8" s="430" t="s">
        <v>446</v>
      </c>
      <c r="GU8" s="430" t="s">
        <v>446</v>
      </c>
      <c r="GV8" s="430" t="s">
        <v>446</v>
      </c>
      <c r="GW8" s="430" t="s">
        <v>446</v>
      </c>
      <c r="GX8" s="430" t="s">
        <v>446</v>
      </c>
      <c r="GY8" s="430" t="s">
        <v>446</v>
      </c>
      <c r="GZ8" s="430" t="s">
        <v>446</v>
      </c>
      <c r="HA8" s="430" t="s">
        <v>446</v>
      </c>
      <c r="HB8" s="430" t="s">
        <v>446</v>
      </c>
      <c r="HC8" s="430" t="s">
        <v>446</v>
      </c>
      <c r="HD8" s="430" t="s">
        <v>446</v>
      </c>
      <c r="HE8" s="430" t="s">
        <v>446</v>
      </c>
      <c r="HF8" s="430" t="s">
        <v>446</v>
      </c>
      <c r="HG8" s="430" t="s">
        <v>446</v>
      </c>
      <c r="HH8" s="430" t="s">
        <v>446</v>
      </c>
      <c r="HI8" s="430" t="s">
        <v>446</v>
      </c>
      <c r="HJ8" s="430" t="s">
        <v>446</v>
      </c>
      <c r="HK8" s="430" t="s">
        <v>446</v>
      </c>
      <c r="HL8" s="430" t="s">
        <v>446</v>
      </c>
      <c r="HM8" s="430" t="s">
        <v>446</v>
      </c>
      <c r="HN8" s="430" t="s">
        <v>446</v>
      </c>
      <c r="HO8" s="430" t="s">
        <v>446</v>
      </c>
      <c r="HP8" s="430" t="s">
        <v>446</v>
      </c>
      <c r="HQ8" s="430" t="s">
        <v>446</v>
      </c>
      <c r="HR8" s="430" t="s">
        <v>446</v>
      </c>
      <c r="HS8" s="430" t="s">
        <v>446</v>
      </c>
      <c r="HT8" s="430" t="s">
        <v>446</v>
      </c>
      <c r="HU8" s="430" t="s">
        <v>446</v>
      </c>
      <c r="HV8" s="430" t="s">
        <v>446</v>
      </c>
      <c r="HW8" s="430" t="s">
        <v>446</v>
      </c>
      <c r="HX8" s="430" t="s">
        <v>446</v>
      </c>
      <c r="HY8" s="430" t="s">
        <v>446</v>
      </c>
      <c r="HZ8" s="430" t="s">
        <v>446</v>
      </c>
      <c r="IA8" s="430" t="s">
        <v>446</v>
      </c>
      <c r="IB8" s="430" t="s">
        <v>446</v>
      </c>
      <c r="IC8" s="430" t="s">
        <v>446</v>
      </c>
      <c r="ID8" s="430" t="s">
        <v>446</v>
      </c>
      <c r="IE8" s="430" t="s">
        <v>446</v>
      </c>
      <c r="IF8" s="430" t="s">
        <v>446</v>
      </c>
      <c r="IG8" s="430" t="s">
        <v>446</v>
      </c>
      <c r="IH8" s="430" t="s">
        <v>446</v>
      </c>
      <c r="II8" s="430" t="s">
        <v>446</v>
      </c>
      <c r="IJ8" s="430" t="s">
        <v>446</v>
      </c>
      <c r="IK8" s="430" t="s">
        <v>446</v>
      </c>
      <c r="IL8" s="430" t="s">
        <v>446</v>
      </c>
      <c r="IM8" s="430" t="s">
        <v>446</v>
      </c>
      <c r="IN8" s="430" t="s">
        <v>446</v>
      </c>
      <c r="IO8" s="430" t="s">
        <v>446</v>
      </c>
      <c r="IP8" s="430" t="s">
        <v>446</v>
      </c>
      <c r="IQ8" s="430" t="s">
        <v>446</v>
      </c>
      <c r="IR8" s="430" t="s">
        <v>446</v>
      </c>
      <c r="IS8" s="430" t="s">
        <v>446</v>
      </c>
      <c r="IT8" s="430" t="s">
        <v>446</v>
      </c>
      <c r="IU8" s="430" t="s">
        <v>446</v>
      </c>
      <c r="IV8" s="430" t="s">
        <v>446</v>
      </c>
      <c r="IW8" s="430" t="s">
        <v>446</v>
      </c>
      <c r="IX8" s="430" t="s">
        <v>446</v>
      </c>
      <c r="IY8" s="430" t="s">
        <v>446</v>
      </c>
      <c r="IZ8" s="430" t="s">
        <v>446</v>
      </c>
      <c r="JA8" s="430" t="s">
        <v>446</v>
      </c>
      <c r="JB8" s="430" t="s">
        <v>446</v>
      </c>
      <c r="JC8" s="430" t="s">
        <v>446</v>
      </c>
      <c r="JD8" s="430" t="s">
        <v>446</v>
      </c>
      <c r="JE8" s="430" t="s">
        <v>446</v>
      </c>
      <c r="JF8" s="430" t="s">
        <v>446</v>
      </c>
      <c r="JG8" s="430" t="s">
        <v>446</v>
      </c>
      <c r="JH8" s="430" t="s">
        <v>446</v>
      </c>
      <c r="JI8" s="430" t="s">
        <v>446</v>
      </c>
      <c r="JJ8" s="430" t="s">
        <v>446</v>
      </c>
      <c r="JK8" s="430" t="s">
        <v>446</v>
      </c>
      <c r="JL8" s="430" t="s">
        <v>446</v>
      </c>
      <c r="JM8" s="430" t="s">
        <v>446</v>
      </c>
      <c r="JN8" s="430" t="s">
        <v>446</v>
      </c>
      <c r="JO8" s="430" t="s">
        <v>446</v>
      </c>
      <c r="JP8" s="430" t="s">
        <v>446</v>
      </c>
      <c r="JQ8" s="430" t="s">
        <v>446</v>
      </c>
      <c r="JR8" s="430" t="s">
        <v>446</v>
      </c>
      <c r="JS8" s="430" t="s">
        <v>446</v>
      </c>
      <c r="JT8" s="430" t="s">
        <v>446</v>
      </c>
      <c r="JU8" s="430" t="s">
        <v>446</v>
      </c>
      <c r="JV8" s="430" t="s">
        <v>446</v>
      </c>
      <c r="JW8" s="430" t="s">
        <v>446</v>
      </c>
      <c r="JX8" s="430" t="s">
        <v>446</v>
      </c>
      <c r="JY8" s="430" t="s">
        <v>446</v>
      </c>
      <c r="JZ8" s="430" t="s">
        <v>446</v>
      </c>
      <c r="KA8" s="430" t="s">
        <v>446</v>
      </c>
      <c r="KB8" s="430" t="s">
        <v>446</v>
      </c>
      <c r="KC8" s="430" t="s">
        <v>446</v>
      </c>
      <c r="KD8" s="430" t="s">
        <v>446</v>
      </c>
      <c r="KE8" s="430" t="s">
        <v>446</v>
      </c>
      <c r="KF8" s="430" t="s">
        <v>446</v>
      </c>
      <c r="KG8" s="430" t="s">
        <v>446</v>
      </c>
      <c r="KH8" s="430" t="s">
        <v>446</v>
      </c>
      <c r="KI8" s="430" t="s">
        <v>446</v>
      </c>
      <c r="KJ8" s="430" t="s">
        <v>446</v>
      </c>
      <c r="KK8" s="430" t="s">
        <v>446</v>
      </c>
      <c r="KL8" s="430" t="s">
        <v>446</v>
      </c>
      <c r="KM8" s="430" t="s">
        <v>446</v>
      </c>
      <c r="KN8" s="430" t="s">
        <v>446</v>
      </c>
      <c r="KO8" s="430" t="s">
        <v>446</v>
      </c>
      <c r="KP8" s="430" t="s">
        <v>446</v>
      </c>
      <c r="KQ8" s="430" t="s">
        <v>446</v>
      </c>
      <c r="KR8" s="430" t="s">
        <v>446</v>
      </c>
      <c r="KS8" s="430" t="s">
        <v>446</v>
      </c>
      <c r="KT8" s="430" t="s">
        <v>446</v>
      </c>
      <c r="KU8" s="430" t="s">
        <v>446</v>
      </c>
      <c r="KV8" s="430" t="s">
        <v>446</v>
      </c>
      <c r="KW8" s="430" t="s">
        <v>446</v>
      </c>
      <c r="KX8" s="430" t="s">
        <v>446</v>
      </c>
      <c r="KY8" s="430" t="s">
        <v>446</v>
      </c>
      <c r="KZ8" s="430" t="s">
        <v>446</v>
      </c>
      <c r="LA8" s="430" t="s">
        <v>446</v>
      </c>
      <c r="LB8" s="430" t="s">
        <v>446</v>
      </c>
      <c r="LC8" s="430" t="s">
        <v>446</v>
      </c>
      <c r="LD8" s="430" t="s">
        <v>446</v>
      </c>
      <c r="LE8" s="430" t="s">
        <v>446</v>
      </c>
      <c r="LF8" s="430" t="s">
        <v>446</v>
      </c>
      <c r="LG8" s="430" t="s">
        <v>446</v>
      </c>
      <c r="LH8" s="430" t="s">
        <v>446</v>
      </c>
      <c r="LI8" s="430" t="s">
        <v>446</v>
      </c>
      <c r="LJ8" s="430" t="s">
        <v>446</v>
      </c>
      <c r="LK8" s="430" t="s">
        <v>446</v>
      </c>
      <c r="LL8" s="430" t="s">
        <v>446</v>
      </c>
      <c r="LM8" s="430" t="s">
        <v>446</v>
      </c>
      <c r="LN8" s="430" t="s">
        <v>446</v>
      </c>
      <c r="LO8" s="430" t="s">
        <v>446</v>
      </c>
      <c r="LP8" s="430" t="s">
        <v>446</v>
      </c>
      <c r="LQ8" s="430" t="s">
        <v>446</v>
      </c>
      <c r="LR8" s="430" t="s">
        <v>446</v>
      </c>
      <c r="LS8" s="430" t="s">
        <v>446</v>
      </c>
      <c r="LT8" s="430" t="s">
        <v>446</v>
      </c>
      <c r="LU8" s="430" t="s">
        <v>446</v>
      </c>
      <c r="LV8" s="430" t="s">
        <v>446</v>
      </c>
      <c r="LW8" s="430" t="s">
        <v>446</v>
      </c>
      <c r="LX8" s="430" t="s">
        <v>446</v>
      </c>
      <c r="LY8" s="430" t="s">
        <v>446</v>
      </c>
      <c r="LZ8" s="430" t="s">
        <v>446</v>
      </c>
      <c r="MA8" s="430" t="s">
        <v>446</v>
      </c>
      <c r="MB8" s="430" t="s">
        <v>446</v>
      </c>
      <c r="MC8" s="430" t="s">
        <v>446</v>
      </c>
      <c r="MD8" s="430" t="s">
        <v>446</v>
      </c>
      <c r="ME8" s="430" t="s">
        <v>446</v>
      </c>
      <c r="MF8" s="430" t="s">
        <v>446</v>
      </c>
      <c r="MG8" s="430" t="s">
        <v>446</v>
      </c>
      <c r="MH8" s="430" t="s">
        <v>446</v>
      </c>
      <c r="MI8" s="430" t="s">
        <v>446</v>
      </c>
      <c r="MJ8" s="430" t="s">
        <v>446</v>
      </c>
      <c r="MK8" s="430" t="s">
        <v>446</v>
      </c>
      <c r="ML8" s="430" t="s">
        <v>446</v>
      </c>
      <c r="MM8" s="430" t="s">
        <v>446</v>
      </c>
      <c r="MN8" s="430" t="s">
        <v>446</v>
      </c>
      <c r="MO8" s="430" t="s">
        <v>446</v>
      </c>
      <c r="MP8" s="430" t="s">
        <v>446</v>
      </c>
      <c r="MQ8" s="430" t="s">
        <v>446</v>
      </c>
      <c r="MR8" s="430" t="s">
        <v>446</v>
      </c>
      <c r="MS8" s="430" t="s">
        <v>446</v>
      </c>
      <c r="MT8" s="430" t="s">
        <v>446</v>
      </c>
      <c r="MU8" s="430" t="s">
        <v>446</v>
      </c>
      <c r="MV8" s="430" t="s">
        <v>446</v>
      </c>
      <c r="MW8" s="430" t="s">
        <v>446</v>
      </c>
      <c r="MX8" s="430" t="s">
        <v>446</v>
      </c>
      <c r="MY8" s="430" t="s">
        <v>446</v>
      </c>
      <c r="MZ8" s="430" t="s">
        <v>446</v>
      </c>
      <c r="NA8" s="430" t="s">
        <v>446</v>
      </c>
      <c r="NB8" s="430" t="s">
        <v>446</v>
      </c>
      <c r="NC8" s="430" t="s">
        <v>446</v>
      </c>
      <c r="ND8" s="430" t="s">
        <v>446</v>
      </c>
      <c r="NE8" s="430" t="s">
        <v>446</v>
      </c>
      <c r="NF8" s="430" t="s">
        <v>446</v>
      </c>
      <c r="NG8" s="430" t="s">
        <v>446</v>
      </c>
      <c r="NH8" s="430" t="s">
        <v>446</v>
      </c>
      <c r="NI8" s="430" t="s">
        <v>446</v>
      </c>
      <c r="NJ8" s="430" t="s">
        <v>446</v>
      </c>
      <c r="NK8" s="430" t="s">
        <v>446</v>
      </c>
      <c r="NL8" s="430" t="s">
        <v>446</v>
      </c>
      <c r="NM8" s="430" t="s">
        <v>446</v>
      </c>
      <c r="NN8" s="430" t="s">
        <v>446</v>
      </c>
      <c r="NO8" s="430" t="s">
        <v>446</v>
      </c>
      <c r="NP8" s="430" t="s">
        <v>446</v>
      </c>
      <c r="NQ8" s="430" t="s">
        <v>446</v>
      </c>
      <c r="NR8" s="430" t="s">
        <v>446</v>
      </c>
      <c r="NS8" s="430" t="s">
        <v>446</v>
      </c>
      <c r="NT8" s="430" t="s">
        <v>446</v>
      </c>
      <c r="NU8" s="430" t="s">
        <v>446</v>
      </c>
      <c r="NV8" s="430" t="s">
        <v>446</v>
      </c>
      <c r="NW8" s="430" t="s">
        <v>446</v>
      </c>
      <c r="NX8" s="430" t="s">
        <v>446</v>
      </c>
      <c r="NY8" s="430" t="s">
        <v>446</v>
      </c>
      <c r="NZ8" s="430" t="s">
        <v>446</v>
      </c>
      <c r="OA8" s="430" t="s">
        <v>446</v>
      </c>
      <c r="OB8" s="430" t="s">
        <v>446</v>
      </c>
      <c r="OC8" s="430" t="s">
        <v>446</v>
      </c>
      <c r="OD8" s="430" t="s">
        <v>446</v>
      </c>
      <c r="OE8" s="430" t="s">
        <v>446</v>
      </c>
      <c r="OF8" s="430" t="s">
        <v>446</v>
      </c>
      <c r="OG8" s="430" t="s">
        <v>446</v>
      </c>
      <c r="OH8" s="430" t="s">
        <v>446</v>
      </c>
      <c r="OI8" s="430" t="s">
        <v>446</v>
      </c>
      <c r="OJ8" s="430" t="s">
        <v>446</v>
      </c>
      <c r="OK8" s="430" t="s">
        <v>446</v>
      </c>
      <c r="OL8" s="430" t="s">
        <v>446</v>
      </c>
      <c r="OM8" s="430" t="s">
        <v>446</v>
      </c>
      <c r="ON8" s="430" t="s">
        <v>446</v>
      </c>
      <c r="OO8" s="430" t="s">
        <v>446</v>
      </c>
      <c r="OP8" s="430" t="s">
        <v>446</v>
      </c>
      <c r="OQ8" s="430" t="s">
        <v>446</v>
      </c>
      <c r="OR8" s="430" t="s">
        <v>446</v>
      </c>
      <c r="OS8" s="430" t="s">
        <v>446</v>
      </c>
      <c r="OT8" s="430" t="s">
        <v>446</v>
      </c>
      <c r="OU8" s="430" t="s">
        <v>446</v>
      </c>
      <c r="OV8" s="430" t="s">
        <v>446</v>
      </c>
      <c r="OW8" s="430" t="s">
        <v>446</v>
      </c>
      <c r="OX8" s="430" t="s">
        <v>446</v>
      </c>
      <c r="OY8" s="430" t="s">
        <v>446</v>
      </c>
      <c r="OZ8" s="430" t="s">
        <v>446</v>
      </c>
      <c r="PA8" s="430" t="s">
        <v>446</v>
      </c>
      <c r="PB8" s="430" t="s">
        <v>446</v>
      </c>
      <c r="PC8" s="430" t="s">
        <v>446</v>
      </c>
      <c r="PD8" s="430" t="s">
        <v>446</v>
      </c>
      <c r="PE8" s="430" t="s">
        <v>446</v>
      </c>
      <c r="PF8" s="430" t="s">
        <v>446</v>
      </c>
      <c r="PG8" s="430" t="s">
        <v>446</v>
      </c>
      <c r="PH8" s="430" t="s">
        <v>446</v>
      </c>
      <c r="PI8" s="430" t="s">
        <v>446</v>
      </c>
      <c r="PJ8" s="430" t="s">
        <v>446</v>
      </c>
      <c r="PK8" s="430" t="s">
        <v>446</v>
      </c>
      <c r="PL8" s="430" t="s">
        <v>446</v>
      </c>
      <c r="PM8" s="430" t="s">
        <v>446</v>
      </c>
      <c r="PN8" s="430" t="s">
        <v>446</v>
      </c>
      <c r="PO8" s="430" t="s">
        <v>446</v>
      </c>
      <c r="PP8" s="430" t="s">
        <v>446</v>
      </c>
      <c r="PQ8" s="430" t="s">
        <v>446</v>
      </c>
      <c r="PR8" s="430" t="s">
        <v>446</v>
      </c>
      <c r="PS8" s="430" t="s">
        <v>446</v>
      </c>
      <c r="PT8" s="430" t="s">
        <v>446</v>
      </c>
      <c r="PU8" s="430" t="s">
        <v>446</v>
      </c>
      <c r="PV8" s="430" t="s">
        <v>446</v>
      </c>
      <c r="PW8" s="430" t="s">
        <v>446</v>
      </c>
      <c r="PX8" s="430" t="s">
        <v>446</v>
      </c>
      <c r="PY8" s="430" t="s">
        <v>446</v>
      </c>
      <c r="PZ8" s="430" t="s">
        <v>446</v>
      </c>
      <c r="QA8" s="430" t="s">
        <v>446</v>
      </c>
      <c r="QB8" s="430" t="s">
        <v>446</v>
      </c>
      <c r="QC8" s="430" t="s">
        <v>446</v>
      </c>
      <c r="QD8" s="430" t="s">
        <v>446</v>
      </c>
      <c r="QE8" s="430" t="s">
        <v>446</v>
      </c>
      <c r="QF8" s="430" t="s">
        <v>446</v>
      </c>
      <c r="QG8" s="430" t="s">
        <v>446</v>
      </c>
      <c r="QH8" s="430" t="s">
        <v>446</v>
      </c>
      <c r="QI8" s="430" t="s">
        <v>446</v>
      </c>
      <c r="QJ8" s="430" t="s">
        <v>446</v>
      </c>
      <c r="QK8" s="430" t="s">
        <v>446</v>
      </c>
      <c r="QL8" s="430" t="s">
        <v>446</v>
      </c>
      <c r="QM8" s="430" t="s">
        <v>446</v>
      </c>
      <c r="QN8" s="430" t="s">
        <v>446</v>
      </c>
      <c r="QO8" s="442" t="s">
        <v>446</v>
      </c>
    </row>
    <row r="9" spans="1:457" ht="30" customHeight="1" x14ac:dyDescent="0.25">
      <c r="A9" s="431" t="str">
        <f>Salas!A8</f>
        <v>08 - Sala de Aula</v>
      </c>
      <c r="B9" s="429" t="s">
        <v>446</v>
      </c>
      <c r="C9" s="430" t="s">
        <v>446</v>
      </c>
      <c r="D9" s="433" t="s">
        <v>267</v>
      </c>
      <c r="E9" s="430" t="s">
        <v>446</v>
      </c>
      <c r="F9" s="430" t="s">
        <v>446</v>
      </c>
      <c r="G9" s="433" t="s">
        <v>267</v>
      </c>
      <c r="H9" s="430" t="s">
        <v>446</v>
      </c>
      <c r="I9" s="430" t="s">
        <v>446</v>
      </c>
      <c r="J9" s="430" t="s">
        <v>446</v>
      </c>
      <c r="K9" s="430" t="s">
        <v>446</v>
      </c>
      <c r="L9" s="430" t="s">
        <v>446</v>
      </c>
      <c r="M9" s="430" t="s">
        <v>446</v>
      </c>
      <c r="N9" s="430" t="s">
        <v>446</v>
      </c>
      <c r="O9" s="430" t="s">
        <v>446</v>
      </c>
      <c r="P9" s="430" t="s">
        <v>446</v>
      </c>
      <c r="Q9" s="430" t="s">
        <v>446</v>
      </c>
      <c r="R9" s="430" t="s">
        <v>446</v>
      </c>
      <c r="S9" s="430" t="s">
        <v>446</v>
      </c>
      <c r="T9" s="430" t="s">
        <v>446</v>
      </c>
      <c r="U9" s="430" t="s">
        <v>446</v>
      </c>
      <c r="V9" s="433" t="s">
        <v>267</v>
      </c>
      <c r="W9" s="430" t="s">
        <v>446</v>
      </c>
      <c r="X9" s="430" t="s">
        <v>446</v>
      </c>
      <c r="Y9" s="433" t="s">
        <v>267</v>
      </c>
      <c r="Z9" s="430" t="s">
        <v>446</v>
      </c>
      <c r="AA9" s="430" t="s">
        <v>446</v>
      </c>
      <c r="AB9" s="433" t="s">
        <v>267</v>
      </c>
      <c r="AC9" s="430" t="s">
        <v>446</v>
      </c>
      <c r="AD9" s="430" t="s">
        <v>446</v>
      </c>
      <c r="AE9" s="430" t="s">
        <v>446</v>
      </c>
      <c r="AF9" s="430" t="s">
        <v>446</v>
      </c>
      <c r="AG9" s="430" t="s">
        <v>446</v>
      </c>
      <c r="AH9" s="430" t="s">
        <v>446</v>
      </c>
      <c r="AI9" s="430" t="s">
        <v>446</v>
      </c>
      <c r="AJ9" s="430" t="s">
        <v>446</v>
      </c>
      <c r="AK9" s="430" t="s">
        <v>446</v>
      </c>
      <c r="AL9" s="430" t="s">
        <v>446</v>
      </c>
      <c r="AM9" s="430" t="s">
        <v>446</v>
      </c>
      <c r="AN9" s="430" t="s">
        <v>446</v>
      </c>
      <c r="AO9" s="430" t="s">
        <v>446</v>
      </c>
      <c r="AP9" s="430" t="s">
        <v>446</v>
      </c>
      <c r="AQ9" s="433" t="s">
        <v>267</v>
      </c>
      <c r="AR9" s="430" t="s">
        <v>446</v>
      </c>
      <c r="AS9" s="430" t="s">
        <v>446</v>
      </c>
      <c r="AT9" s="433" t="s">
        <v>267</v>
      </c>
      <c r="AU9" s="430" t="s">
        <v>446</v>
      </c>
      <c r="AV9" s="430" t="s">
        <v>446</v>
      </c>
      <c r="AW9" s="433" t="s">
        <v>267</v>
      </c>
      <c r="AX9" s="430" t="s">
        <v>446</v>
      </c>
      <c r="AY9" s="430" t="s">
        <v>446</v>
      </c>
      <c r="AZ9" s="430" t="s">
        <v>446</v>
      </c>
      <c r="BA9" s="430" t="s">
        <v>446</v>
      </c>
      <c r="BB9" s="430" t="s">
        <v>446</v>
      </c>
      <c r="BC9" s="430" t="s">
        <v>446</v>
      </c>
      <c r="BD9" s="430" t="s">
        <v>446</v>
      </c>
      <c r="BE9" s="430" t="s">
        <v>446</v>
      </c>
      <c r="BF9" s="430" t="s">
        <v>446</v>
      </c>
      <c r="BG9" s="430" t="s">
        <v>446</v>
      </c>
      <c r="BH9" s="430" t="s">
        <v>446</v>
      </c>
      <c r="BI9" s="430" t="s">
        <v>446</v>
      </c>
      <c r="BJ9" s="430" t="s">
        <v>446</v>
      </c>
      <c r="BK9" s="430" t="s">
        <v>446</v>
      </c>
      <c r="BL9" s="433" t="s">
        <v>267</v>
      </c>
      <c r="BM9" s="430" t="s">
        <v>446</v>
      </c>
      <c r="BN9" s="430" t="s">
        <v>446</v>
      </c>
      <c r="BO9" s="433" t="s">
        <v>267</v>
      </c>
      <c r="BP9" s="430" t="s">
        <v>446</v>
      </c>
      <c r="BQ9" s="430" t="s">
        <v>446</v>
      </c>
      <c r="BR9" s="430" t="s">
        <v>446</v>
      </c>
      <c r="BS9" s="430" t="s">
        <v>446</v>
      </c>
      <c r="BT9" s="430" t="s">
        <v>446</v>
      </c>
      <c r="BU9" s="430" t="s">
        <v>446</v>
      </c>
      <c r="BV9" s="430" t="s">
        <v>446</v>
      </c>
      <c r="BW9" s="430" t="s">
        <v>446</v>
      </c>
      <c r="BX9" s="430" t="s">
        <v>446</v>
      </c>
      <c r="BY9" s="430" t="s">
        <v>446</v>
      </c>
      <c r="BZ9" s="430" t="s">
        <v>446</v>
      </c>
      <c r="CA9" s="430" t="s">
        <v>446</v>
      </c>
      <c r="CB9" s="430" t="s">
        <v>446</v>
      </c>
      <c r="CC9" s="430" t="s">
        <v>446</v>
      </c>
      <c r="CD9" s="430" t="s">
        <v>446</v>
      </c>
      <c r="CE9" s="430" t="s">
        <v>446</v>
      </c>
      <c r="CF9" s="430" t="s">
        <v>446</v>
      </c>
      <c r="CG9" s="430" t="s">
        <v>446</v>
      </c>
      <c r="CH9" s="430" t="s">
        <v>446</v>
      </c>
      <c r="CI9" s="430" t="s">
        <v>446</v>
      </c>
      <c r="CJ9" s="430" t="s">
        <v>446</v>
      </c>
      <c r="CK9" s="430" t="s">
        <v>446</v>
      </c>
      <c r="CL9" s="430" t="s">
        <v>446</v>
      </c>
      <c r="CM9" s="430" t="s">
        <v>446</v>
      </c>
      <c r="CN9" s="430" t="s">
        <v>446</v>
      </c>
      <c r="CO9" s="430" t="s">
        <v>446</v>
      </c>
      <c r="CP9" s="430" t="s">
        <v>446</v>
      </c>
      <c r="CQ9" s="430" t="s">
        <v>446</v>
      </c>
      <c r="CR9" s="430" t="s">
        <v>446</v>
      </c>
      <c r="CS9" s="430" t="s">
        <v>446</v>
      </c>
      <c r="CT9" s="430" t="s">
        <v>446</v>
      </c>
      <c r="CU9" s="430" t="s">
        <v>446</v>
      </c>
      <c r="CV9" s="430" t="s">
        <v>446</v>
      </c>
      <c r="CW9" s="430" t="s">
        <v>446</v>
      </c>
      <c r="CX9" s="430" t="s">
        <v>446</v>
      </c>
      <c r="CY9" s="430" t="s">
        <v>446</v>
      </c>
      <c r="CZ9" s="430" t="s">
        <v>446</v>
      </c>
      <c r="DA9" s="430" t="s">
        <v>446</v>
      </c>
      <c r="DB9" s="430" t="s">
        <v>446</v>
      </c>
      <c r="DC9" s="430" t="s">
        <v>446</v>
      </c>
      <c r="DD9" s="430" t="s">
        <v>446</v>
      </c>
      <c r="DE9" s="430" t="s">
        <v>446</v>
      </c>
      <c r="DF9" s="430" t="s">
        <v>446</v>
      </c>
      <c r="DG9" s="430" t="s">
        <v>446</v>
      </c>
      <c r="DH9" s="430" t="s">
        <v>446</v>
      </c>
      <c r="DI9" s="430" t="s">
        <v>446</v>
      </c>
      <c r="DJ9" s="430" t="s">
        <v>446</v>
      </c>
      <c r="DK9" s="430" t="s">
        <v>446</v>
      </c>
      <c r="DL9" s="430" t="s">
        <v>446</v>
      </c>
      <c r="DM9" s="430" t="s">
        <v>446</v>
      </c>
      <c r="DN9" s="430" t="s">
        <v>446</v>
      </c>
      <c r="DO9" s="430" t="s">
        <v>446</v>
      </c>
      <c r="DP9" s="430" t="s">
        <v>446</v>
      </c>
      <c r="DQ9" s="430" t="s">
        <v>446</v>
      </c>
      <c r="DR9" s="430" t="s">
        <v>446</v>
      </c>
      <c r="DS9" s="430" t="s">
        <v>446</v>
      </c>
      <c r="DT9" s="430" t="s">
        <v>446</v>
      </c>
      <c r="DU9" s="430" t="s">
        <v>446</v>
      </c>
      <c r="DV9" s="430" t="s">
        <v>446</v>
      </c>
      <c r="DW9" s="430" t="s">
        <v>446</v>
      </c>
      <c r="DX9" s="430" t="s">
        <v>446</v>
      </c>
      <c r="DY9" s="430" t="s">
        <v>446</v>
      </c>
      <c r="DZ9" s="430" t="s">
        <v>446</v>
      </c>
      <c r="EA9" s="430" t="s">
        <v>446</v>
      </c>
      <c r="EB9" s="430" t="s">
        <v>446</v>
      </c>
      <c r="EC9" s="430" t="s">
        <v>446</v>
      </c>
      <c r="ED9" s="430" t="s">
        <v>446</v>
      </c>
      <c r="EE9" s="430" t="s">
        <v>446</v>
      </c>
      <c r="EF9" s="430" t="s">
        <v>446</v>
      </c>
      <c r="EG9" s="430" t="s">
        <v>446</v>
      </c>
      <c r="EH9" s="430" t="s">
        <v>446</v>
      </c>
      <c r="EI9" s="430" t="s">
        <v>446</v>
      </c>
      <c r="EJ9" s="430" t="s">
        <v>446</v>
      </c>
      <c r="EK9" s="430" t="s">
        <v>446</v>
      </c>
      <c r="EL9" s="430" t="s">
        <v>446</v>
      </c>
      <c r="EM9" s="430" t="s">
        <v>446</v>
      </c>
      <c r="EN9" s="430" t="s">
        <v>446</v>
      </c>
      <c r="EO9" s="430" t="s">
        <v>446</v>
      </c>
      <c r="EP9" s="430" t="s">
        <v>446</v>
      </c>
      <c r="EQ9" s="430" t="s">
        <v>446</v>
      </c>
      <c r="ER9" s="430" t="s">
        <v>446</v>
      </c>
      <c r="ES9" s="430" t="s">
        <v>446</v>
      </c>
      <c r="ET9" s="430" t="s">
        <v>446</v>
      </c>
      <c r="EU9" s="430" t="s">
        <v>446</v>
      </c>
      <c r="EV9" s="430" t="s">
        <v>446</v>
      </c>
      <c r="EW9" s="430" t="s">
        <v>446</v>
      </c>
      <c r="EX9" s="430" t="s">
        <v>446</v>
      </c>
      <c r="EY9" s="430" t="s">
        <v>446</v>
      </c>
      <c r="EZ9" s="430" t="s">
        <v>446</v>
      </c>
      <c r="FA9" s="430" t="s">
        <v>446</v>
      </c>
      <c r="FB9" s="430" t="s">
        <v>446</v>
      </c>
      <c r="FC9" s="430" t="s">
        <v>446</v>
      </c>
      <c r="FD9" s="430" t="s">
        <v>446</v>
      </c>
      <c r="FE9" s="430" t="s">
        <v>446</v>
      </c>
      <c r="FF9" s="430" t="s">
        <v>446</v>
      </c>
      <c r="FG9" s="430" t="s">
        <v>446</v>
      </c>
      <c r="FH9" s="430" t="s">
        <v>446</v>
      </c>
      <c r="FI9" s="430" t="s">
        <v>446</v>
      </c>
      <c r="FJ9" s="430" t="s">
        <v>446</v>
      </c>
      <c r="FK9" s="430" t="s">
        <v>446</v>
      </c>
      <c r="FL9" s="430" t="s">
        <v>446</v>
      </c>
      <c r="FM9" s="430" t="s">
        <v>446</v>
      </c>
      <c r="FN9" s="430" t="s">
        <v>446</v>
      </c>
      <c r="FO9" s="430" t="s">
        <v>446</v>
      </c>
      <c r="FP9" s="430" t="s">
        <v>446</v>
      </c>
      <c r="FQ9" s="430" t="s">
        <v>446</v>
      </c>
      <c r="FR9" s="430" t="s">
        <v>446</v>
      </c>
      <c r="FS9" s="430" t="s">
        <v>446</v>
      </c>
      <c r="FT9" s="430" t="s">
        <v>446</v>
      </c>
      <c r="FU9" s="430" t="s">
        <v>446</v>
      </c>
      <c r="FV9" s="430" t="s">
        <v>446</v>
      </c>
      <c r="FW9" s="430" t="s">
        <v>446</v>
      </c>
      <c r="FX9" s="430" t="s">
        <v>446</v>
      </c>
      <c r="FY9" s="430" t="s">
        <v>446</v>
      </c>
      <c r="FZ9" s="430" t="s">
        <v>446</v>
      </c>
      <c r="GA9" s="430" t="s">
        <v>446</v>
      </c>
      <c r="GB9" s="430" t="s">
        <v>446</v>
      </c>
      <c r="GC9" s="430" t="s">
        <v>446</v>
      </c>
      <c r="GD9" s="430" t="s">
        <v>446</v>
      </c>
      <c r="GE9" s="430" t="s">
        <v>446</v>
      </c>
      <c r="GF9" s="430" t="s">
        <v>446</v>
      </c>
      <c r="GG9" s="430" t="s">
        <v>446</v>
      </c>
      <c r="GH9" s="430" t="s">
        <v>446</v>
      </c>
      <c r="GI9" s="430" t="s">
        <v>446</v>
      </c>
      <c r="GJ9" s="430" t="s">
        <v>446</v>
      </c>
      <c r="GK9" s="430" t="s">
        <v>446</v>
      </c>
      <c r="GL9" s="430" t="s">
        <v>446</v>
      </c>
      <c r="GM9" s="430" t="s">
        <v>446</v>
      </c>
      <c r="GN9" s="430" t="s">
        <v>446</v>
      </c>
      <c r="GO9" s="430" t="s">
        <v>446</v>
      </c>
      <c r="GP9" s="430" t="s">
        <v>446</v>
      </c>
      <c r="GQ9" s="430" t="s">
        <v>446</v>
      </c>
      <c r="GR9" s="430" t="s">
        <v>446</v>
      </c>
      <c r="GS9" s="430" t="s">
        <v>446</v>
      </c>
      <c r="GT9" s="430" t="s">
        <v>446</v>
      </c>
      <c r="GU9" s="430" t="s">
        <v>446</v>
      </c>
      <c r="GV9" s="430" t="s">
        <v>446</v>
      </c>
      <c r="GW9" s="430" t="s">
        <v>446</v>
      </c>
      <c r="GX9" s="430" t="s">
        <v>446</v>
      </c>
      <c r="GY9" s="430" t="s">
        <v>446</v>
      </c>
      <c r="GZ9" s="430" t="s">
        <v>446</v>
      </c>
      <c r="HA9" s="430" t="s">
        <v>446</v>
      </c>
      <c r="HB9" s="430" t="s">
        <v>446</v>
      </c>
      <c r="HC9" s="430" t="s">
        <v>446</v>
      </c>
      <c r="HD9" s="430" t="s">
        <v>446</v>
      </c>
      <c r="HE9" s="430" t="s">
        <v>446</v>
      </c>
      <c r="HF9" s="430" t="s">
        <v>446</v>
      </c>
      <c r="HG9" s="430" t="s">
        <v>446</v>
      </c>
      <c r="HH9" s="430" t="s">
        <v>446</v>
      </c>
      <c r="HI9" s="430" t="s">
        <v>446</v>
      </c>
      <c r="HJ9" s="430" t="s">
        <v>446</v>
      </c>
      <c r="HK9" s="430" t="s">
        <v>446</v>
      </c>
      <c r="HL9" s="430" t="s">
        <v>446</v>
      </c>
      <c r="HM9" s="430" t="s">
        <v>446</v>
      </c>
      <c r="HN9" s="430" t="s">
        <v>446</v>
      </c>
      <c r="HO9" s="430" t="s">
        <v>446</v>
      </c>
      <c r="HP9" s="430" t="s">
        <v>446</v>
      </c>
      <c r="HQ9" s="430" t="s">
        <v>446</v>
      </c>
      <c r="HR9" s="430" t="s">
        <v>446</v>
      </c>
      <c r="HS9" s="430" t="s">
        <v>446</v>
      </c>
      <c r="HT9" s="430" t="s">
        <v>446</v>
      </c>
      <c r="HU9" s="430" t="s">
        <v>446</v>
      </c>
      <c r="HV9" s="430" t="s">
        <v>446</v>
      </c>
      <c r="HW9" s="430" t="s">
        <v>446</v>
      </c>
      <c r="HX9" s="430" t="s">
        <v>446</v>
      </c>
      <c r="HY9" s="430" t="s">
        <v>446</v>
      </c>
      <c r="HZ9" s="430" t="s">
        <v>446</v>
      </c>
      <c r="IA9" s="430" t="s">
        <v>446</v>
      </c>
      <c r="IB9" s="430" t="s">
        <v>446</v>
      </c>
      <c r="IC9" s="430" t="s">
        <v>446</v>
      </c>
      <c r="ID9" s="430" t="s">
        <v>446</v>
      </c>
      <c r="IE9" s="430" t="s">
        <v>446</v>
      </c>
      <c r="IF9" s="430" t="s">
        <v>446</v>
      </c>
      <c r="IG9" s="430" t="s">
        <v>446</v>
      </c>
      <c r="IH9" s="430" t="s">
        <v>446</v>
      </c>
      <c r="II9" s="430" t="s">
        <v>446</v>
      </c>
      <c r="IJ9" s="430" t="s">
        <v>446</v>
      </c>
      <c r="IK9" s="430" t="s">
        <v>446</v>
      </c>
      <c r="IL9" s="430" t="s">
        <v>446</v>
      </c>
      <c r="IM9" s="430" t="s">
        <v>446</v>
      </c>
      <c r="IN9" s="430" t="s">
        <v>446</v>
      </c>
      <c r="IO9" s="430" t="s">
        <v>446</v>
      </c>
      <c r="IP9" s="430" t="s">
        <v>446</v>
      </c>
      <c r="IQ9" s="430" t="s">
        <v>446</v>
      </c>
      <c r="IR9" s="430" t="s">
        <v>446</v>
      </c>
      <c r="IS9" s="430" t="s">
        <v>446</v>
      </c>
      <c r="IT9" s="430" t="s">
        <v>446</v>
      </c>
      <c r="IU9" s="430" t="s">
        <v>446</v>
      </c>
      <c r="IV9" s="430" t="s">
        <v>446</v>
      </c>
      <c r="IW9" s="430" t="s">
        <v>446</v>
      </c>
      <c r="IX9" s="430" t="s">
        <v>446</v>
      </c>
      <c r="IY9" s="430" t="s">
        <v>446</v>
      </c>
      <c r="IZ9" s="430" t="s">
        <v>446</v>
      </c>
      <c r="JA9" s="430" t="s">
        <v>446</v>
      </c>
      <c r="JB9" s="430" t="s">
        <v>446</v>
      </c>
      <c r="JC9" s="430" t="s">
        <v>446</v>
      </c>
      <c r="JD9" s="430" t="s">
        <v>446</v>
      </c>
      <c r="JE9" s="430" t="s">
        <v>446</v>
      </c>
      <c r="JF9" s="430" t="s">
        <v>446</v>
      </c>
      <c r="JG9" s="430" t="s">
        <v>446</v>
      </c>
      <c r="JH9" s="430" t="s">
        <v>446</v>
      </c>
      <c r="JI9" s="430" t="s">
        <v>446</v>
      </c>
      <c r="JJ9" s="430" t="s">
        <v>446</v>
      </c>
      <c r="JK9" s="430" t="s">
        <v>446</v>
      </c>
      <c r="JL9" s="430" t="s">
        <v>446</v>
      </c>
      <c r="JM9" s="430" t="s">
        <v>446</v>
      </c>
      <c r="JN9" s="430" t="s">
        <v>446</v>
      </c>
      <c r="JO9" s="430" t="s">
        <v>446</v>
      </c>
      <c r="JP9" s="430" t="s">
        <v>446</v>
      </c>
      <c r="JQ9" s="430" t="s">
        <v>446</v>
      </c>
      <c r="JR9" s="430" t="s">
        <v>446</v>
      </c>
      <c r="JS9" s="430" t="s">
        <v>446</v>
      </c>
      <c r="JT9" s="430" t="s">
        <v>446</v>
      </c>
      <c r="JU9" s="430" t="s">
        <v>446</v>
      </c>
      <c r="JV9" s="430" t="s">
        <v>446</v>
      </c>
      <c r="JW9" s="430" t="s">
        <v>446</v>
      </c>
      <c r="JX9" s="430" t="s">
        <v>446</v>
      </c>
      <c r="JY9" s="430" t="s">
        <v>446</v>
      </c>
      <c r="JZ9" s="430" t="s">
        <v>446</v>
      </c>
      <c r="KA9" s="430" t="s">
        <v>446</v>
      </c>
      <c r="KB9" s="430" t="s">
        <v>446</v>
      </c>
      <c r="KC9" s="430" t="s">
        <v>446</v>
      </c>
      <c r="KD9" s="430" t="s">
        <v>446</v>
      </c>
      <c r="KE9" s="430" t="s">
        <v>446</v>
      </c>
      <c r="KF9" s="430" t="s">
        <v>446</v>
      </c>
      <c r="KG9" s="430" t="s">
        <v>446</v>
      </c>
      <c r="KH9" s="430" t="s">
        <v>446</v>
      </c>
      <c r="KI9" s="430" t="s">
        <v>446</v>
      </c>
      <c r="KJ9" s="430" t="s">
        <v>446</v>
      </c>
      <c r="KK9" s="430" t="s">
        <v>446</v>
      </c>
      <c r="KL9" s="430" t="s">
        <v>446</v>
      </c>
      <c r="KM9" s="430" t="s">
        <v>446</v>
      </c>
      <c r="KN9" s="430" t="s">
        <v>446</v>
      </c>
      <c r="KO9" s="430" t="s">
        <v>446</v>
      </c>
      <c r="KP9" s="430" t="s">
        <v>446</v>
      </c>
      <c r="KQ9" s="430" t="s">
        <v>446</v>
      </c>
      <c r="KR9" s="430" t="s">
        <v>446</v>
      </c>
      <c r="KS9" s="430" t="s">
        <v>446</v>
      </c>
      <c r="KT9" s="430" t="s">
        <v>446</v>
      </c>
      <c r="KU9" s="430" t="s">
        <v>446</v>
      </c>
      <c r="KV9" s="430" t="s">
        <v>446</v>
      </c>
      <c r="KW9" s="430" t="s">
        <v>446</v>
      </c>
      <c r="KX9" s="430" t="s">
        <v>446</v>
      </c>
      <c r="KY9" s="430" t="s">
        <v>446</v>
      </c>
      <c r="KZ9" s="430" t="s">
        <v>446</v>
      </c>
      <c r="LA9" s="430" t="s">
        <v>446</v>
      </c>
      <c r="LB9" s="430" t="s">
        <v>446</v>
      </c>
      <c r="LC9" s="430" t="s">
        <v>446</v>
      </c>
      <c r="LD9" s="430" t="s">
        <v>446</v>
      </c>
      <c r="LE9" s="430" t="s">
        <v>446</v>
      </c>
      <c r="LF9" s="430" t="s">
        <v>446</v>
      </c>
      <c r="LG9" s="430" t="s">
        <v>446</v>
      </c>
      <c r="LH9" s="430" t="s">
        <v>446</v>
      </c>
      <c r="LI9" s="430" t="s">
        <v>446</v>
      </c>
      <c r="LJ9" s="430" t="s">
        <v>446</v>
      </c>
      <c r="LK9" s="430" t="s">
        <v>446</v>
      </c>
      <c r="LL9" s="430" t="s">
        <v>446</v>
      </c>
      <c r="LM9" s="430" t="s">
        <v>446</v>
      </c>
      <c r="LN9" s="430" t="s">
        <v>446</v>
      </c>
      <c r="LO9" s="430" t="s">
        <v>446</v>
      </c>
      <c r="LP9" s="430" t="s">
        <v>446</v>
      </c>
      <c r="LQ9" s="430" t="s">
        <v>446</v>
      </c>
      <c r="LR9" s="430" t="s">
        <v>446</v>
      </c>
      <c r="LS9" s="430" t="s">
        <v>446</v>
      </c>
      <c r="LT9" s="430" t="s">
        <v>446</v>
      </c>
      <c r="LU9" s="430" t="s">
        <v>446</v>
      </c>
      <c r="LV9" s="430" t="s">
        <v>446</v>
      </c>
      <c r="LW9" s="430" t="s">
        <v>446</v>
      </c>
      <c r="LX9" s="430" t="s">
        <v>446</v>
      </c>
      <c r="LY9" s="430" t="s">
        <v>446</v>
      </c>
      <c r="LZ9" s="430" t="s">
        <v>446</v>
      </c>
      <c r="MA9" s="430" t="s">
        <v>446</v>
      </c>
      <c r="MB9" s="430" t="s">
        <v>446</v>
      </c>
      <c r="MC9" s="430" t="s">
        <v>446</v>
      </c>
      <c r="MD9" s="430" t="s">
        <v>446</v>
      </c>
      <c r="ME9" s="430" t="s">
        <v>446</v>
      </c>
      <c r="MF9" s="430" t="s">
        <v>446</v>
      </c>
      <c r="MG9" s="430" t="s">
        <v>446</v>
      </c>
      <c r="MH9" s="430" t="s">
        <v>446</v>
      </c>
      <c r="MI9" s="430" t="s">
        <v>446</v>
      </c>
      <c r="MJ9" s="430" t="s">
        <v>446</v>
      </c>
      <c r="MK9" s="430" t="s">
        <v>446</v>
      </c>
      <c r="ML9" s="430" t="s">
        <v>446</v>
      </c>
      <c r="MM9" s="430" t="s">
        <v>446</v>
      </c>
      <c r="MN9" s="430" t="s">
        <v>446</v>
      </c>
      <c r="MO9" s="430" t="s">
        <v>446</v>
      </c>
      <c r="MP9" s="430" t="s">
        <v>446</v>
      </c>
      <c r="MQ9" s="430" t="s">
        <v>446</v>
      </c>
      <c r="MR9" s="430" t="s">
        <v>446</v>
      </c>
      <c r="MS9" s="430" t="s">
        <v>446</v>
      </c>
      <c r="MT9" s="430" t="s">
        <v>446</v>
      </c>
      <c r="MU9" s="430" t="s">
        <v>446</v>
      </c>
      <c r="MV9" s="430" t="s">
        <v>446</v>
      </c>
      <c r="MW9" s="430" t="s">
        <v>446</v>
      </c>
      <c r="MX9" s="430" t="s">
        <v>446</v>
      </c>
      <c r="MY9" s="430" t="s">
        <v>446</v>
      </c>
      <c r="MZ9" s="430" t="s">
        <v>446</v>
      </c>
      <c r="NA9" s="430" t="s">
        <v>446</v>
      </c>
      <c r="NB9" s="430" t="s">
        <v>446</v>
      </c>
      <c r="NC9" s="430" t="s">
        <v>446</v>
      </c>
      <c r="ND9" s="430" t="s">
        <v>446</v>
      </c>
      <c r="NE9" s="430" t="s">
        <v>446</v>
      </c>
      <c r="NF9" s="430" t="s">
        <v>446</v>
      </c>
      <c r="NG9" s="430" t="s">
        <v>446</v>
      </c>
      <c r="NH9" s="430" t="s">
        <v>446</v>
      </c>
      <c r="NI9" s="430" t="s">
        <v>446</v>
      </c>
      <c r="NJ9" s="430" t="s">
        <v>446</v>
      </c>
      <c r="NK9" s="430" t="s">
        <v>446</v>
      </c>
      <c r="NL9" s="430" t="s">
        <v>446</v>
      </c>
      <c r="NM9" s="430" t="s">
        <v>446</v>
      </c>
      <c r="NN9" s="430" t="s">
        <v>446</v>
      </c>
      <c r="NO9" s="430" t="s">
        <v>446</v>
      </c>
      <c r="NP9" s="430" t="s">
        <v>446</v>
      </c>
      <c r="NQ9" s="430" t="s">
        <v>446</v>
      </c>
      <c r="NR9" s="430" t="s">
        <v>446</v>
      </c>
      <c r="NS9" s="430" t="s">
        <v>446</v>
      </c>
      <c r="NT9" s="430" t="s">
        <v>446</v>
      </c>
      <c r="NU9" s="430" t="s">
        <v>446</v>
      </c>
      <c r="NV9" s="430" t="s">
        <v>446</v>
      </c>
      <c r="NW9" s="430" t="s">
        <v>446</v>
      </c>
      <c r="NX9" s="430" t="s">
        <v>446</v>
      </c>
      <c r="NY9" s="430" t="s">
        <v>446</v>
      </c>
      <c r="NZ9" s="430" t="s">
        <v>446</v>
      </c>
      <c r="OA9" s="430" t="s">
        <v>446</v>
      </c>
      <c r="OB9" s="430" t="s">
        <v>446</v>
      </c>
      <c r="OC9" s="430" t="s">
        <v>446</v>
      </c>
      <c r="OD9" s="430" t="s">
        <v>446</v>
      </c>
      <c r="OE9" s="430" t="s">
        <v>446</v>
      </c>
      <c r="OF9" s="430" t="s">
        <v>446</v>
      </c>
      <c r="OG9" s="430" t="s">
        <v>446</v>
      </c>
      <c r="OH9" s="430" t="s">
        <v>446</v>
      </c>
      <c r="OI9" s="430" t="s">
        <v>446</v>
      </c>
      <c r="OJ9" s="430" t="s">
        <v>446</v>
      </c>
      <c r="OK9" s="430" t="s">
        <v>446</v>
      </c>
      <c r="OL9" s="430" t="s">
        <v>446</v>
      </c>
      <c r="OM9" s="430" t="s">
        <v>446</v>
      </c>
      <c r="ON9" s="430" t="s">
        <v>446</v>
      </c>
      <c r="OO9" s="430" t="s">
        <v>446</v>
      </c>
      <c r="OP9" s="430" t="s">
        <v>446</v>
      </c>
      <c r="OQ9" s="430" t="s">
        <v>446</v>
      </c>
      <c r="OR9" s="430" t="s">
        <v>446</v>
      </c>
      <c r="OS9" s="430" t="s">
        <v>446</v>
      </c>
      <c r="OT9" s="430" t="s">
        <v>446</v>
      </c>
      <c r="OU9" s="430" t="s">
        <v>446</v>
      </c>
      <c r="OV9" s="430" t="s">
        <v>446</v>
      </c>
      <c r="OW9" s="430" t="s">
        <v>446</v>
      </c>
      <c r="OX9" s="430" t="s">
        <v>446</v>
      </c>
      <c r="OY9" s="430" t="s">
        <v>446</v>
      </c>
      <c r="OZ9" s="430" t="s">
        <v>446</v>
      </c>
      <c r="PA9" s="430" t="s">
        <v>446</v>
      </c>
      <c r="PB9" s="430" t="s">
        <v>446</v>
      </c>
      <c r="PC9" s="430" t="s">
        <v>446</v>
      </c>
      <c r="PD9" s="430" t="s">
        <v>446</v>
      </c>
      <c r="PE9" s="430" t="s">
        <v>446</v>
      </c>
      <c r="PF9" s="430" t="s">
        <v>446</v>
      </c>
      <c r="PG9" s="430" t="s">
        <v>446</v>
      </c>
      <c r="PH9" s="430" t="s">
        <v>446</v>
      </c>
      <c r="PI9" s="430" t="s">
        <v>446</v>
      </c>
      <c r="PJ9" s="430" t="s">
        <v>446</v>
      </c>
      <c r="PK9" s="430" t="s">
        <v>446</v>
      </c>
      <c r="PL9" s="430" t="s">
        <v>446</v>
      </c>
      <c r="PM9" s="430" t="s">
        <v>446</v>
      </c>
      <c r="PN9" s="430" t="s">
        <v>446</v>
      </c>
      <c r="PO9" s="430" t="s">
        <v>446</v>
      </c>
      <c r="PP9" s="430" t="s">
        <v>446</v>
      </c>
      <c r="PQ9" s="430" t="s">
        <v>446</v>
      </c>
      <c r="PR9" s="430" t="s">
        <v>446</v>
      </c>
      <c r="PS9" s="430" t="s">
        <v>446</v>
      </c>
      <c r="PT9" s="430" t="s">
        <v>446</v>
      </c>
      <c r="PU9" s="430" t="s">
        <v>446</v>
      </c>
      <c r="PV9" s="430" t="s">
        <v>446</v>
      </c>
      <c r="PW9" s="430" t="s">
        <v>446</v>
      </c>
      <c r="PX9" s="430" t="s">
        <v>446</v>
      </c>
      <c r="PY9" s="430" t="s">
        <v>446</v>
      </c>
      <c r="PZ9" s="430" t="s">
        <v>446</v>
      </c>
      <c r="QA9" s="430" t="s">
        <v>446</v>
      </c>
      <c r="QB9" s="430" t="s">
        <v>446</v>
      </c>
      <c r="QC9" s="430" t="s">
        <v>446</v>
      </c>
      <c r="QD9" s="430" t="s">
        <v>446</v>
      </c>
      <c r="QE9" s="430" t="s">
        <v>446</v>
      </c>
      <c r="QF9" s="430" t="s">
        <v>446</v>
      </c>
      <c r="QG9" s="430" t="s">
        <v>446</v>
      </c>
      <c r="QH9" s="430" t="s">
        <v>446</v>
      </c>
      <c r="QI9" s="430" t="s">
        <v>446</v>
      </c>
      <c r="QJ9" s="430" t="s">
        <v>446</v>
      </c>
      <c r="QK9" s="430" t="s">
        <v>446</v>
      </c>
      <c r="QL9" s="430" t="s">
        <v>446</v>
      </c>
      <c r="QM9" s="430" t="s">
        <v>446</v>
      </c>
      <c r="QN9" s="430" t="s">
        <v>446</v>
      </c>
      <c r="QO9" s="442" t="s">
        <v>446</v>
      </c>
    </row>
    <row r="10" spans="1:457" ht="30" customHeight="1" x14ac:dyDescent="0.25">
      <c r="A10" s="431" t="str">
        <f>Salas!A9</f>
        <v>09 - Laboratório Informática</v>
      </c>
      <c r="B10" s="429" t="s">
        <v>446</v>
      </c>
      <c r="C10" s="432" t="s">
        <v>242</v>
      </c>
      <c r="D10" s="430" t="s">
        <v>446</v>
      </c>
      <c r="E10" s="430" t="s">
        <v>446</v>
      </c>
      <c r="F10" s="430" t="s">
        <v>446</v>
      </c>
      <c r="G10" s="430" t="s">
        <v>446</v>
      </c>
      <c r="H10" s="430" t="s">
        <v>446</v>
      </c>
      <c r="I10" s="432" t="s">
        <v>242</v>
      </c>
      <c r="J10" s="430" t="s">
        <v>446</v>
      </c>
      <c r="K10" s="430" t="s">
        <v>446</v>
      </c>
      <c r="L10" s="430" t="s">
        <v>446</v>
      </c>
      <c r="M10" s="430" t="s">
        <v>446</v>
      </c>
      <c r="N10" s="430" t="s">
        <v>446</v>
      </c>
      <c r="O10" s="430" t="s">
        <v>446</v>
      </c>
      <c r="P10" s="430" t="s">
        <v>446</v>
      </c>
      <c r="Q10" s="430" t="s">
        <v>446</v>
      </c>
      <c r="R10" s="432" t="s">
        <v>242</v>
      </c>
      <c r="S10" s="430" t="s">
        <v>446</v>
      </c>
      <c r="T10" s="430" t="s">
        <v>446</v>
      </c>
      <c r="U10" s="430" t="s">
        <v>446</v>
      </c>
      <c r="V10" s="430" t="s">
        <v>446</v>
      </c>
      <c r="W10" s="430" t="s">
        <v>446</v>
      </c>
      <c r="X10" s="432" t="s">
        <v>242</v>
      </c>
      <c r="Y10" s="430" t="s">
        <v>446</v>
      </c>
      <c r="Z10" s="430" t="s">
        <v>446</v>
      </c>
      <c r="AA10" s="430" t="s">
        <v>446</v>
      </c>
      <c r="AB10" s="430" t="s">
        <v>446</v>
      </c>
      <c r="AC10" s="430" t="s">
        <v>446</v>
      </c>
      <c r="AD10" s="432" t="s">
        <v>242</v>
      </c>
      <c r="AE10" s="430" t="s">
        <v>446</v>
      </c>
      <c r="AF10" s="430" t="s">
        <v>446</v>
      </c>
      <c r="AG10" s="430" t="s">
        <v>446</v>
      </c>
      <c r="AH10" s="430" t="s">
        <v>446</v>
      </c>
      <c r="AI10" s="430" t="s">
        <v>446</v>
      </c>
      <c r="AJ10" s="430" t="s">
        <v>446</v>
      </c>
      <c r="AK10" s="430" t="s">
        <v>446</v>
      </c>
      <c r="AL10" s="430" t="s">
        <v>446</v>
      </c>
      <c r="AM10" s="432" t="s">
        <v>242</v>
      </c>
      <c r="AN10" s="430" t="s">
        <v>446</v>
      </c>
      <c r="AO10" s="430" t="s">
        <v>446</v>
      </c>
      <c r="AP10" s="430" t="s">
        <v>446</v>
      </c>
      <c r="AQ10" s="430" t="s">
        <v>446</v>
      </c>
      <c r="AR10" s="430" t="s">
        <v>446</v>
      </c>
      <c r="AS10" s="432" t="s">
        <v>242</v>
      </c>
      <c r="AT10" s="430" t="s">
        <v>446</v>
      </c>
      <c r="AU10" s="430" t="s">
        <v>446</v>
      </c>
      <c r="AV10" s="430" t="s">
        <v>446</v>
      </c>
      <c r="AW10" s="430" t="s">
        <v>446</v>
      </c>
      <c r="AX10" s="430" t="s">
        <v>446</v>
      </c>
      <c r="AY10" s="432" t="s">
        <v>242</v>
      </c>
      <c r="AZ10" s="430" t="s">
        <v>446</v>
      </c>
      <c r="BA10" s="430" t="s">
        <v>446</v>
      </c>
      <c r="BB10" s="430" t="s">
        <v>446</v>
      </c>
      <c r="BC10" s="430" t="s">
        <v>446</v>
      </c>
      <c r="BD10" s="430" t="s">
        <v>446</v>
      </c>
      <c r="BE10" s="430" t="s">
        <v>446</v>
      </c>
      <c r="BF10" s="430" t="s">
        <v>446</v>
      </c>
      <c r="BG10" s="430" t="s">
        <v>446</v>
      </c>
      <c r="BH10" s="432" t="s">
        <v>242</v>
      </c>
      <c r="BI10" s="430" t="s">
        <v>446</v>
      </c>
      <c r="BJ10" s="430" t="s">
        <v>446</v>
      </c>
      <c r="BK10" s="430" t="s">
        <v>446</v>
      </c>
      <c r="BL10" s="433" t="s">
        <v>78</v>
      </c>
      <c r="BM10" s="430" t="s">
        <v>446</v>
      </c>
      <c r="BN10" s="432" t="s">
        <v>242</v>
      </c>
      <c r="BO10" s="433" t="s">
        <v>78</v>
      </c>
      <c r="BP10" s="430" t="s">
        <v>446</v>
      </c>
      <c r="BQ10" s="430" t="s">
        <v>446</v>
      </c>
      <c r="BR10" s="430" t="s">
        <v>446</v>
      </c>
      <c r="BS10" s="430" t="s">
        <v>446</v>
      </c>
      <c r="BT10" s="432" t="s">
        <v>242</v>
      </c>
      <c r="BU10" s="430" t="s">
        <v>446</v>
      </c>
      <c r="BV10" s="430" t="s">
        <v>446</v>
      </c>
      <c r="BW10" s="430" t="s">
        <v>446</v>
      </c>
      <c r="BX10" s="430" t="s">
        <v>446</v>
      </c>
      <c r="BY10" s="430" t="s">
        <v>446</v>
      </c>
      <c r="BZ10" s="430" t="s">
        <v>446</v>
      </c>
      <c r="CA10" s="430" t="s">
        <v>446</v>
      </c>
      <c r="CB10" s="430" t="s">
        <v>446</v>
      </c>
      <c r="CC10" s="432" t="s">
        <v>242</v>
      </c>
      <c r="CD10" s="430" t="s">
        <v>446</v>
      </c>
      <c r="CE10" s="430" t="s">
        <v>446</v>
      </c>
      <c r="CF10" s="430" t="s">
        <v>446</v>
      </c>
      <c r="CG10" s="433" t="s">
        <v>78</v>
      </c>
      <c r="CH10" s="430" t="s">
        <v>446</v>
      </c>
      <c r="CI10" s="432" t="s">
        <v>242</v>
      </c>
      <c r="CJ10" s="433" t="s">
        <v>78</v>
      </c>
      <c r="CK10" s="430" t="s">
        <v>446</v>
      </c>
      <c r="CL10" s="430" t="s">
        <v>446</v>
      </c>
      <c r="CM10" s="430" t="s">
        <v>446</v>
      </c>
      <c r="CN10" s="430" t="s">
        <v>446</v>
      </c>
      <c r="CO10" s="430" t="s">
        <v>446</v>
      </c>
      <c r="CP10" s="430" t="s">
        <v>446</v>
      </c>
      <c r="CQ10" s="430" t="s">
        <v>446</v>
      </c>
      <c r="CR10" s="430" t="s">
        <v>446</v>
      </c>
      <c r="CS10" s="430" t="s">
        <v>446</v>
      </c>
      <c r="CT10" s="430" t="s">
        <v>446</v>
      </c>
      <c r="CU10" s="430" t="s">
        <v>446</v>
      </c>
      <c r="CV10" s="430" t="s">
        <v>446</v>
      </c>
      <c r="CW10" s="430" t="s">
        <v>446</v>
      </c>
      <c r="CX10" s="430" t="s">
        <v>446</v>
      </c>
      <c r="CY10" s="430" t="s">
        <v>446</v>
      </c>
      <c r="CZ10" s="430" t="s">
        <v>446</v>
      </c>
      <c r="DA10" s="430" t="s">
        <v>446</v>
      </c>
      <c r="DB10" s="433" t="s">
        <v>78</v>
      </c>
      <c r="DC10" s="430" t="s">
        <v>446</v>
      </c>
      <c r="DD10" s="432" t="s">
        <v>78</v>
      </c>
      <c r="DE10" s="433" t="s">
        <v>78</v>
      </c>
      <c r="DF10" s="430" t="s">
        <v>446</v>
      </c>
      <c r="DG10" s="430" t="s">
        <v>446</v>
      </c>
      <c r="DH10" s="430" t="s">
        <v>446</v>
      </c>
      <c r="DI10" s="430" t="s">
        <v>446</v>
      </c>
      <c r="DJ10" s="432" t="s">
        <v>78</v>
      </c>
      <c r="DK10" s="430" t="s">
        <v>446</v>
      </c>
      <c r="DL10" s="430" t="s">
        <v>446</v>
      </c>
      <c r="DM10" s="430" t="s">
        <v>446</v>
      </c>
      <c r="DN10" s="430" t="s">
        <v>446</v>
      </c>
      <c r="DO10" s="430" t="s">
        <v>446</v>
      </c>
      <c r="DP10" s="430" t="s">
        <v>446</v>
      </c>
      <c r="DQ10" s="430" t="s">
        <v>446</v>
      </c>
      <c r="DR10" s="430" t="s">
        <v>446</v>
      </c>
      <c r="DS10" s="430" t="s">
        <v>446</v>
      </c>
      <c r="DT10" s="430" t="s">
        <v>446</v>
      </c>
      <c r="DU10" s="430" t="s">
        <v>446</v>
      </c>
      <c r="DV10" s="430" t="s">
        <v>446</v>
      </c>
      <c r="DW10" s="433" t="s">
        <v>78</v>
      </c>
      <c r="DX10" s="430" t="s">
        <v>446</v>
      </c>
      <c r="DY10" s="432" t="s">
        <v>78</v>
      </c>
      <c r="DZ10" s="433" t="s">
        <v>78</v>
      </c>
      <c r="EA10" s="430" t="s">
        <v>446</v>
      </c>
      <c r="EB10" s="430" t="s">
        <v>446</v>
      </c>
      <c r="EC10" s="430" t="s">
        <v>446</v>
      </c>
      <c r="ED10" s="430" t="s">
        <v>446</v>
      </c>
      <c r="EE10" s="432" t="s">
        <v>78</v>
      </c>
      <c r="EF10" s="430" t="s">
        <v>446</v>
      </c>
      <c r="EG10" s="430" t="s">
        <v>446</v>
      </c>
      <c r="EH10" s="430" t="s">
        <v>446</v>
      </c>
      <c r="EI10" s="430" t="s">
        <v>446</v>
      </c>
      <c r="EJ10" s="430" t="s">
        <v>446</v>
      </c>
      <c r="EK10" s="430" t="s">
        <v>446</v>
      </c>
      <c r="EL10" s="430" t="s">
        <v>446</v>
      </c>
      <c r="EM10" s="430" t="s">
        <v>446</v>
      </c>
      <c r="EN10" s="430" t="s">
        <v>446</v>
      </c>
      <c r="EO10" s="430" t="s">
        <v>446</v>
      </c>
      <c r="EP10" s="430" t="s">
        <v>446</v>
      </c>
      <c r="EQ10" s="430" t="s">
        <v>446</v>
      </c>
      <c r="ER10" s="433" t="s">
        <v>78</v>
      </c>
      <c r="ES10" s="430" t="s">
        <v>446</v>
      </c>
      <c r="ET10" s="432" t="s">
        <v>78</v>
      </c>
      <c r="EU10" s="433" t="s">
        <v>78</v>
      </c>
      <c r="EV10" s="430" t="s">
        <v>446</v>
      </c>
      <c r="EW10" s="430" t="s">
        <v>446</v>
      </c>
      <c r="EX10" s="430" t="s">
        <v>446</v>
      </c>
      <c r="EY10" s="430" t="s">
        <v>446</v>
      </c>
      <c r="EZ10" s="432" t="s">
        <v>78</v>
      </c>
      <c r="FA10" s="430" t="s">
        <v>446</v>
      </c>
      <c r="FB10" s="430" t="s">
        <v>446</v>
      </c>
      <c r="FC10" s="430" t="s">
        <v>446</v>
      </c>
      <c r="FD10" s="430" t="s">
        <v>446</v>
      </c>
      <c r="FE10" s="430" t="s">
        <v>446</v>
      </c>
      <c r="FF10" s="430" t="s">
        <v>446</v>
      </c>
      <c r="FG10" s="430" t="s">
        <v>446</v>
      </c>
      <c r="FH10" s="430" t="s">
        <v>446</v>
      </c>
      <c r="FI10" s="430" t="s">
        <v>446</v>
      </c>
      <c r="FJ10" s="430" t="s">
        <v>446</v>
      </c>
      <c r="FK10" s="430" t="s">
        <v>446</v>
      </c>
      <c r="FL10" s="430" t="s">
        <v>446</v>
      </c>
      <c r="FM10" s="433" t="s">
        <v>78</v>
      </c>
      <c r="FN10" s="430" t="s">
        <v>446</v>
      </c>
      <c r="FO10" s="432" t="s">
        <v>78</v>
      </c>
      <c r="FP10" s="433" t="s">
        <v>78</v>
      </c>
      <c r="FQ10" s="430" t="s">
        <v>446</v>
      </c>
      <c r="FR10" s="430" t="s">
        <v>446</v>
      </c>
      <c r="FS10" s="430" t="s">
        <v>446</v>
      </c>
      <c r="FT10" s="430" t="s">
        <v>446</v>
      </c>
      <c r="FU10" s="432" t="s">
        <v>78</v>
      </c>
      <c r="FV10" s="430" t="s">
        <v>446</v>
      </c>
      <c r="FW10" s="430" t="s">
        <v>446</v>
      </c>
      <c r="FX10" s="430" t="s">
        <v>446</v>
      </c>
      <c r="FY10" s="430" t="s">
        <v>446</v>
      </c>
      <c r="FZ10" s="430" t="s">
        <v>446</v>
      </c>
      <c r="GA10" s="430" t="s">
        <v>446</v>
      </c>
      <c r="GB10" s="430" t="s">
        <v>446</v>
      </c>
      <c r="GC10" s="430" t="s">
        <v>446</v>
      </c>
      <c r="GD10" s="430" t="s">
        <v>446</v>
      </c>
      <c r="GE10" s="430" t="s">
        <v>446</v>
      </c>
      <c r="GF10" s="430" t="s">
        <v>446</v>
      </c>
      <c r="GG10" s="430" t="s">
        <v>446</v>
      </c>
      <c r="GH10" s="433" t="s">
        <v>78</v>
      </c>
      <c r="GI10" s="430" t="s">
        <v>446</v>
      </c>
      <c r="GJ10" s="432" t="s">
        <v>78</v>
      </c>
      <c r="GK10" s="433" t="s">
        <v>78</v>
      </c>
      <c r="GL10" s="430" t="s">
        <v>446</v>
      </c>
      <c r="GM10" s="430" t="s">
        <v>446</v>
      </c>
      <c r="GN10" s="430" t="s">
        <v>446</v>
      </c>
      <c r="GO10" s="430" t="s">
        <v>446</v>
      </c>
      <c r="GP10" s="432" t="s">
        <v>78</v>
      </c>
      <c r="GQ10" s="430" t="s">
        <v>446</v>
      </c>
      <c r="GR10" s="430" t="s">
        <v>446</v>
      </c>
      <c r="GS10" s="430" t="s">
        <v>446</v>
      </c>
      <c r="GT10" s="430" t="s">
        <v>446</v>
      </c>
      <c r="GU10" s="430" t="s">
        <v>446</v>
      </c>
      <c r="GV10" s="430" t="s">
        <v>446</v>
      </c>
      <c r="GW10" s="430" t="s">
        <v>446</v>
      </c>
      <c r="GX10" s="430" t="s">
        <v>446</v>
      </c>
      <c r="GY10" s="430" t="s">
        <v>446</v>
      </c>
      <c r="GZ10" s="430" t="s">
        <v>446</v>
      </c>
      <c r="HA10" s="430" t="s">
        <v>446</v>
      </c>
      <c r="HB10" s="430" t="s">
        <v>446</v>
      </c>
      <c r="HC10" s="433" t="s">
        <v>78</v>
      </c>
      <c r="HD10" s="430" t="s">
        <v>446</v>
      </c>
      <c r="HE10" s="432" t="s">
        <v>78</v>
      </c>
      <c r="HF10" s="433" t="s">
        <v>78</v>
      </c>
      <c r="HG10" s="430" t="s">
        <v>446</v>
      </c>
      <c r="HH10" s="430" t="s">
        <v>446</v>
      </c>
      <c r="HI10" s="430" t="s">
        <v>446</v>
      </c>
      <c r="HJ10" s="430" t="s">
        <v>446</v>
      </c>
      <c r="HK10" s="432" t="s">
        <v>78</v>
      </c>
      <c r="HL10" s="430" t="s">
        <v>446</v>
      </c>
      <c r="HM10" s="430" t="s">
        <v>446</v>
      </c>
      <c r="HN10" s="430" t="s">
        <v>446</v>
      </c>
      <c r="HO10" s="430" t="s">
        <v>446</v>
      </c>
      <c r="HP10" s="430" t="s">
        <v>446</v>
      </c>
      <c r="HQ10" s="430" t="s">
        <v>446</v>
      </c>
      <c r="HR10" s="430" t="s">
        <v>446</v>
      </c>
      <c r="HS10" s="430" t="s">
        <v>446</v>
      </c>
      <c r="HT10" s="430" t="s">
        <v>446</v>
      </c>
      <c r="HU10" s="430" t="s">
        <v>446</v>
      </c>
      <c r="HV10" s="430" t="s">
        <v>446</v>
      </c>
      <c r="HW10" s="430" t="s">
        <v>446</v>
      </c>
      <c r="HX10" s="433" t="s">
        <v>78</v>
      </c>
      <c r="HY10" s="430" t="s">
        <v>446</v>
      </c>
      <c r="HZ10" s="432" t="s">
        <v>78</v>
      </c>
      <c r="IA10" s="433" t="s">
        <v>78</v>
      </c>
      <c r="IB10" s="430" t="s">
        <v>446</v>
      </c>
      <c r="IC10" s="430" t="s">
        <v>446</v>
      </c>
      <c r="ID10" s="430" t="s">
        <v>446</v>
      </c>
      <c r="IE10" s="430" t="s">
        <v>446</v>
      </c>
      <c r="IF10" s="432" t="s">
        <v>78</v>
      </c>
      <c r="IG10" s="430" t="s">
        <v>446</v>
      </c>
      <c r="IH10" s="430" t="s">
        <v>446</v>
      </c>
      <c r="II10" s="430" t="s">
        <v>446</v>
      </c>
      <c r="IJ10" s="430" t="s">
        <v>446</v>
      </c>
      <c r="IK10" s="430" t="s">
        <v>446</v>
      </c>
      <c r="IL10" s="430" t="s">
        <v>446</v>
      </c>
      <c r="IM10" s="430" t="s">
        <v>446</v>
      </c>
      <c r="IN10" s="430" t="s">
        <v>446</v>
      </c>
      <c r="IO10" s="430" t="s">
        <v>446</v>
      </c>
      <c r="IP10" s="430" t="s">
        <v>446</v>
      </c>
      <c r="IQ10" s="430" t="s">
        <v>446</v>
      </c>
      <c r="IR10" s="430" t="s">
        <v>446</v>
      </c>
      <c r="IS10" s="433" t="s">
        <v>78</v>
      </c>
      <c r="IT10" s="430" t="s">
        <v>446</v>
      </c>
      <c r="IU10" s="432" t="s">
        <v>78</v>
      </c>
      <c r="IV10" s="433" t="s">
        <v>78</v>
      </c>
      <c r="IW10" s="430" t="s">
        <v>446</v>
      </c>
      <c r="IX10" s="430" t="s">
        <v>446</v>
      </c>
      <c r="IY10" s="430" t="s">
        <v>446</v>
      </c>
      <c r="IZ10" s="430" t="s">
        <v>446</v>
      </c>
      <c r="JA10" s="432" t="s">
        <v>78</v>
      </c>
      <c r="JB10" s="430" t="s">
        <v>446</v>
      </c>
      <c r="JC10" s="430" t="s">
        <v>446</v>
      </c>
      <c r="JD10" s="430" t="s">
        <v>446</v>
      </c>
      <c r="JE10" s="430" t="s">
        <v>446</v>
      </c>
      <c r="JF10" s="430" t="s">
        <v>446</v>
      </c>
      <c r="JG10" s="430" t="s">
        <v>446</v>
      </c>
      <c r="JH10" s="430" t="s">
        <v>446</v>
      </c>
      <c r="JI10" s="430" t="s">
        <v>446</v>
      </c>
      <c r="JJ10" s="430" t="s">
        <v>446</v>
      </c>
      <c r="JK10" s="430" t="s">
        <v>446</v>
      </c>
      <c r="JL10" s="430" t="s">
        <v>446</v>
      </c>
      <c r="JM10" s="430" t="s">
        <v>446</v>
      </c>
      <c r="JN10" s="433" t="s">
        <v>78</v>
      </c>
      <c r="JO10" s="430" t="s">
        <v>446</v>
      </c>
      <c r="JP10" s="432" t="s">
        <v>78</v>
      </c>
      <c r="JQ10" s="433" t="s">
        <v>78</v>
      </c>
      <c r="JR10" s="430" t="s">
        <v>446</v>
      </c>
      <c r="JS10" s="430" t="s">
        <v>446</v>
      </c>
      <c r="JT10" s="430" t="s">
        <v>446</v>
      </c>
      <c r="JU10" s="430" t="s">
        <v>446</v>
      </c>
      <c r="JV10" s="432" t="s">
        <v>78</v>
      </c>
      <c r="JW10" s="430" t="s">
        <v>446</v>
      </c>
      <c r="JX10" s="430" t="s">
        <v>446</v>
      </c>
      <c r="JY10" s="430" t="s">
        <v>446</v>
      </c>
      <c r="JZ10" s="430" t="s">
        <v>446</v>
      </c>
      <c r="KA10" s="430" t="s">
        <v>446</v>
      </c>
      <c r="KB10" s="430" t="s">
        <v>446</v>
      </c>
      <c r="KC10" s="430" t="s">
        <v>446</v>
      </c>
      <c r="KD10" s="430" t="s">
        <v>446</v>
      </c>
      <c r="KE10" s="430" t="s">
        <v>446</v>
      </c>
      <c r="KF10" s="430" t="s">
        <v>446</v>
      </c>
      <c r="KG10" s="430" t="s">
        <v>446</v>
      </c>
      <c r="KH10" s="430" t="s">
        <v>446</v>
      </c>
      <c r="KI10" s="433" t="s">
        <v>78</v>
      </c>
      <c r="KJ10" s="430" t="s">
        <v>446</v>
      </c>
      <c r="KK10" s="432" t="s">
        <v>78</v>
      </c>
      <c r="KL10" s="433" t="s">
        <v>78</v>
      </c>
      <c r="KM10" s="430" t="s">
        <v>446</v>
      </c>
      <c r="KN10" s="430" t="s">
        <v>446</v>
      </c>
      <c r="KO10" s="430" t="s">
        <v>446</v>
      </c>
      <c r="KP10" s="430" t="s">
        <v>446</v>
      </c>
      <c r="KQ10" s="432" t="s">
        <v>78</v>
      </c>
      <c r="KR10" s="430" t="s">
        <v>446</v>
      </c>
      <c r="KS10" s="430" t="s">
        <v>446</v>
      </c>
      <c r="KT10" s="430" t="s">
        <v>446</v>
      </c>
      <c r="KU10" s="430" t="s">
        <v>446</v>
      </c>
      <c r="KV10" s="430" t="s">
        <v>446</v>
      </c>
      <c r="KW10" s="430" t="s">
        <v>446</v>
      </c>
      <c r="KX10" s="430" t="s">
        <v>446</v>
      </c>
      <c r="KY10" s="430" t="s">
        <v>446</v>
      </c>
      <c r="KZ10" s="430" t="s">
        <v>446</v>
      </c>
      <c r="LA10" s="430" t="s">
        <v>446</v>
      </c>
      <c r="LB10" s="430" t="s">
        <v>446</v>
      </c>
      <c r="LC10" s="430" t="s">
        <v>446</v>
      </c>
      <c r="LD10" s="433" t="s">
        <v>78</v>
      </c>
      <c r="LE10" s="430" t="s">
        <v>446</v>
      </c>
      <c r="LF10" s="432" t="s">
        <v>78</v>
      </c>
      <c r="LG10" s="433" t="s">
        <v>78</v>
      </c>
      <c r="LH10" s="430" t="s">
        <v>446</v>
      </c>
      <c r="LI10" s="430" t="s">
        <v>446</v>
      </c>
      <c r="LJ10" s="430" t="s">
        <v>446</v>
      </c>
      <c r="LK10" s="430" t="s">
        <v>446</v>
      </c>
      <c r="LL10" s="432" t="s">
        <v>78</v>
      </c>
      <c r="LM10" s="430" t="s">
        <v>446</v>
      </c>
      <c r="LN10" s="430" t="s">
        <v>446</v>
      </c>
      <c r="LO10" s="430" t="s">
        <v>446</v>
      </c>
      <c r="LP10" s="430" t="s">
        <v>446</v>
      </c>
      <c r="LQ10" s="430" t="s">
        <v>446</v>
      </c>
      <c r="LR10" s="430" t="s">
        <v>446</v>
      </c>
      <c r="LS10" s="430" t="s">
        <v>446</v>
      </c>
      <c r="LT10" s="430" t="s">
        <v>446</v>
      </c>
      <c r="LU10" s="430" t="s">
        <v>446</v>
      </c>
      <c r="LV10" s="430" t="s">
        <v>446</v>
      </c>
      <c r="LW10" s="430" t="s">
        <v>446</v>
      </c>
      <c r="LX10" s="430" t="s">
        <v>446</v>
      </c>
      <c r="LY10" s="433" t="s">
        <v>78</v>
      </c>
      <c r="LZ10" s="430" t="s">
        <v>446</v>
      </c>
      <c r="MA10" s="432" t="s">
        <v>78</v>
      </c>
      <c r="MB10" s="433" t="s">
        <v>78</v>
      </c>
      <c r="MC10" s="430" t="s">
        <v>446</v>
      </c>
      <c r="MD10" s="430" t="s">
        <v>446</v>
      </c>
      <c r="ME10" s="430" t="s">
        <v>446</v>
      </c>
      <c r="MF10" s="430" t="s">
        <v>446</v>
      </c>
      <c r="MG10" s="432" t="s">
        <v>78</v>
      </c>
      <c r="MH10" s="430" t="s">
        <v>446</v>
      </c>
      <c r="MI10" s="430" t="s">
        <v>446</v>
      </c>
      <c r="MJ10" s="430" t="s">
        <v>446</v>
      </c>
      <c r="MK10" s="430" t="s">
        <v>446</v>
      </c>
      <c r="ML10" s="430" t="s">
        <v>446</v>
      </c>
      <c r="MM10" s="430" t="s">
        <v>446</v>
      </c>
      <c r="MN10" s="430" t="s">
        <v>446</v>
      </c>
      <c r="MO10" s="430" t="s">
        <v>446</v>
      </c>
      <c r="MP10" s="430" t="s">
        <v>446</v>
      </c>
      <c r="MQ10" s="430" t="s">
        <v>446</v>
      </c>
      <c r="MR10" s="430" t="s">
        <v>446</v>
      </c>
      <c r="MS10" s="430" t="s">
        <v>446</v>
      </c>
      <c r="MT10" s="433" t="s">
        <v>78</v>
      </c>
      <c r="MU10" s="430" t="s">
        <v>446</v>
      </c>
      <c r="MV10" s="432" t="s">
        <v>78</v>
      </c>
      <c r="MW10" s="433" t="s">
        <v>78</v>
      </c>
      <c r="MX10" s="430" t="s">
        <v>446</v>
      </c>
      <c r="MY10" s="430" t="s">
        <v>446</v>
      </c>
      <c r="MZ10" s="430" t="s">
        <v>446</v>
      </c>
      <c r="NA10" s="430" t="s">
        <v>446</v>
      </c>
      <c r="NB10" s="432" t="s">
        <v>78</v>
      </c>
      <c r="NC10" s="430" t="s">
        <v>446</v>
      </c>
      <c r="ND10" s="430" t="s">
        <v>446</v>
      </c>
      <c r="NE10" s="430" t="s">
        <v>446</v>
      </c>
      <c r="NF10" s="430" t="s">
        <v>446</v>
      </c>
      <c r="NG10" s="430" t="s">
        <v>446</v>
      </c>
      <c r="NH10" s="430" t="s">
        <v>446</v>
      </c>
      <c r="NI10" s="430" t="s">
        <v>446</v>
      </c>
      <c r="NJ10" s="430" t="s">
        <v>446</v>
      </c>
      <c r="NK10" s="430" t="s">
        <v>446</v>
      </c>
      <c r="NL10" s="430" t="s">
        <v>446</v>
      </c>
      <c r="NM10" s="430" t="s">
        <v>446</v>
      </c>
      <c r="NN10" s="430" t="s">
        <v>446</v>
      </c>
      <c r="NO10" s="433" t="s">
        <v>78</v>
      </c>
      <c r="NP10" s="430" t="s">
        <v>446</v>
      </c>
      <c r="NQ10" s="432" t="s">
        <v>78</v>
      </c>
      <c r="NR10" s="433" t="s">
        <v>78</v>
      </c>
      <c r="NS10" s="430" t="s">
        <v>446</v>
      </c>
      <c r="NT10" s="430" t="s">
        <v>446</v>
      </c>
      <c r="NU10" s="430" t="s">
        <v>446</v>
      </c>
      <c r="NV10" s="430" t="s">
        <v>446</v>
      </c>
      <c r="NW10" s="432" t="s">
        <v>78</v>
      </c>
      <c r="NX10" s="430" t="s">
        <v>446</v>
      </c>
      <c r="NY10" s="430" t="s">
        <v>446</v>
      </c>
      <c r="NZ10" s="430" t="s">
        <v>446</v>
      </c>
      <c r="OA10" s="430" t="s">
        <v>446</v>
      </c>
      <c r="OB10" s="430" t="s">
        <v>446</v>
      </c>
      <c r="OC10" s="430" t="s">
        <v>446</v>
      </c>
      <c r="OD10" s="430" t="s">
        <v>446</v>
      </c>
      <c r="OE10" s="430" t="s">
        <v>446</v>
      </c>
      <c r="OF10" s="430" t="s">
        <v>446</v>
      </c>
      <c r="OG10" s="430" t="s">
        <v>446</v>
      </c>
      <c r="OH10" s="430" t="s">
        <v>446</v>
      </c>
      <c r="OI10" s="430" t="s">
        <v>446</v>
      </c>
      <c r="OJ10" s="433" t="s">
        <v>78</v>
      </c>
      <c r="OK10" s="430" t="s">
        <v>446</v>
      </c>
      <c r="OL10" s="432" t="s">
        <v>78</v>
      </c>
      <c r="OM10" s="430" t="s">
        <v>446</v>
      </c>
      <c r="ON10" s="430" t="s">
        <v>446</v>
      </c>
      <c r="OO10" s="430" t="s">
        <v>446</v>
      </c>
      <c r="OP10" s="430" t="s">
        <v>446</v>
      </c>
      <c r="OQ10" s="430" t="s">
        <v>446</v>
      </c>
      <c r="OR10" s="432" t="s">
        <v>78</v>
      </c>
      <c r="OS10" s="430" t="s">
        <v>446</v>
      </c>
      <c r="OT10" s="430" t="s">
        <v>446</v>
      </c>
      <c r="OU10" s="430" t="s">
        <v>446</v>
      </c>
      <c r="OV10" s="430" t="s">
        <v>446</v>
      </c>
      <c r="OW10" s="430" t="s">
        <v>446</v>
      </c>
      <c r="OX10" s="430" t="s">
        <v>446</v>
      </c>
      <c r="OY10" s="430" t="s">
        <v>446</v>
      </c>
      <c r="OZ10" s="430" t="s">
        <v>446</v>
      </c>
      <c r="PA10" s="430" t="s">
        <v>446</v>
      </c>
      <c r="PB10" s="430" t="s">
        <v>446</v>
      </c>
      <c r="PC10" s="430" t="s">
        <v>446</v>
      </c>
      <c r="PD10" s="430" t="s">
        <v>446</v>
      </c>
      <c r="PE10" s="430" t="s">
        <v>446</v>
      </c>
      <c r="PF10" s="430" t="s">
        <v>446</v>
      </c>
      <c r="PG10" s="430" t="s">
        <v>446</v>
      </c>
      <c r="PH10" s="430" t="s">
        <v>446</v>
      </c>
      <c r="PI10" s="430" t="s">
        <v>446</v>
      </c>
      <c r="PJ10" s="430" t="s">
        <v>446</v>
      </c>
      <c r="PK10" s="430" t="s">
        <v>446</v>
      </c>
      <c r="PL10" s="430" t="s">
        <v>446</v>
      </c>
      <c r="PM10" s="430" t="s">
        <v>446</v>
      </c>
      <c r="PN10" s="430" t="s">
        <v>446</v>
      </c>
      <c r="PO10" s="430" t="s">
        <v>446</v>
      </c>
      <c r="PP10" s="430" t="s">
        <v>446</v>
      </c>
      <c r="PQ10" s="430" t="s">
        <v>446</v>
      </c>
      <c r="PR10" s="430" t="s">
        <v>446</v>
      </c>
      <c r="PS10" s="430" t="s">
        <v>446</v>
      </c>
      <c r="PT10" s="430" t="s">
        <v>446</v>
      </c>
      <c r="PU10" s="430" t="s">
        <v>446</v>
      </c>
      <c r="PV10" s="430" t="s">
        <v>446</v>
      </c>
      <c r="PW10" s="430" t="s">
        <v>446</v>
      </c>
      <c r="PX10" s="430" t="s">
        <v>446</v>
      </c>
      <c r="PY10" s="430" t="s">
        <v>446</v>
      </c>
      <c r="PZ10" s="430" t="s">
        <v>446</v>
      </c>
      <c r="QA10" s="430" t="s">
        <v>446</v>
      </c>
      <c r="QB10" s="430" t="s">
        <v>446</v>
      </c>
      <c r="QC10" s="430" t="s">
        <v>446</v>
      </c>
      <c r="QD10" s="430" t="s">
        <v>446</v>
      </c>
      <c r="QE10" s="430" t="s">
        <v>446</v>
      </c>
      <c r="QF10" s="430" t="s">
        <v>446</v>
      </c>
      <c r="QG10" s="430" t="s">
        <v>446</v>
      </c>
      <c r="QH10" s="430" t="s">
        <v>446</v>
      </c>
      <c r="QI10" s="430" t="s">
        <v>446</v>
      </c>
      <c r="QJ10" s="430" t="s">
        <v>446</v>
      </c>
      <c r="QK10" s="430" t="s">
        <v>446</v>
      </c>
      <c r="QL10" s="430" t="s">
        <v>446</v>
      </c>
      <c r="QM10" s="430" t="s">
        <v>446</v>
      </c>
      <c r="QN10" s="430" t="s">
        <v>446</v>
      </c>
      <c r="QO10" s="442" t="s">
        <v>446</v>
      </c>
    </row>
    <row r="11" spans="1:457" ht="30" customHeight="1" x14ac:dyDescent="0.25">
      <c r="A11" s="431" t="str">
        <f>Salas!A10</f>
        <v>20 - Sala de Vídeo</v>
      </c>
      <c r="B11" s="429" t="s">
        <v>446</v>
      </c>
      <c r="C11" s="430" t="s">
        <v>446</v>
      </c>
      <c r="D11" s="430" t="s">
        <v>446</v>
      </c>
      <c r="E11" s="430" t="s">
        <v>446</v>
      </c>
      <c r="F11" s="430" t="s">
        <v>446</v>
      </c>
      <c r="G11" s="430" t="s">
        <v>446</v>
      </c>
      <c r="H11" s="430" t="s">
        <v>446</v>
      </c>
      <c r="I11" s="430" t="s">
        <v>446</v>
      </c>
      <c r="J11" s="430" t="s">
        <v>446</v>
      </c>
      <c r="K11" s="430" t="s">
        <v>446</v>
      </c>
      <c r="L11" s="430" t="s">
        <v>446</v>
      </c>
      <c r="M11" s="430" t="s">
        <v>446</v>
      </c>
      <c r="N11" s="430" t="s">
        <v>446</v>
      </c>
      <c r="O11" s="430" t="s">
        <v>446</v>
      </c>
      <c r="P11" s="430" t="s">
        <v>446</v>
      </c>
      <c r="Q11" s="430" t="s">
        <v>446</v>
      </c>
      <c r="R11" s="430" t="s">
        <v>446</v>
      </c>
      <c r="S11" s="430" t="s">
        <v>446</v>
      </c>
      <c r="T11" s="430" t="s">
        <v>446</v>
      </c>
      <c r="U11" s="430" t="s">
        <v>446</v>
      </c>
      <c r="V11" s="430" t="s">
        <v>446</v>
      </c>
      <c r="W11" s="430" t="s">
        <v>446</v>
      </c>
      <c r="X11" s="430" t="s">
        <v>446</v>
      </c>
      <c r="Y11" s="430" t="s">
        <v>446</v>
      </c>
      <c r="Z11" s="430" t="s">
        <v>446</v>
      </c>
      <c r="AA11" s="430" t="s">
        <v>446</v>
      </c>
      <c r="AB11" s="430" t="s">
        <v>446</v>
      </c>
      <c r="AC11" s="430" t="s">
        <v>446</v>
      </c>
      <c r="AD11" s="430" t="s">
        <v>446</v>
      </c>
      <c r="AE11" s="430" t="s">
        <v>446</v>
      </c>
      <c r="AF11" s="430" t="s">
        <v>446</v>
      </c>
      <c r="AG11" s="430" t="s">
        <v>446</v>
      </c>
      <c r="AH11" s="430" t="s">
        <v>446</v>
      </c>
      <c r="AI11" s="430" t="s">
        <v>446</v>
      </c>
      <c r="AJ11" s="430" t="s">
        <v>446</v>
      </c>
      <c r="AK11" s="430" t="s">
        <v>446</v>
      </c>
      <c r="AL11" s="430" t="s">
        <v>446</v>
      </c>
      <c r="AM11" s="430" t="s">
        <v>446</v>
      </c>
      <c r="AN11" s="430" t="s">
        <v>446</v>
      </c>
      <c r="AO11" s="430" t="s">
        <v>446</v>
      </c>
      <c r="AP11" s="430" t="s">
        <v>446</v>
      </c>
      <c r="AQ11" s="430" t="s">
        <v>446</v>
      </c>
      <c r="AR11" s="430" t="s">
        <v>446</v>
      </c>
      <c r="AS11" s="430" t="s">
        <v>446</v>
      </c>
      <c r="AT11" s="430" t="s">
        <v>446</v>
      </c>
      <c r="AU11" s="430" t="s">
        <v>446</v>
      </c>
      <c r="AV11" s="430" t="s">
        <v>446</v>
      </c>
      <c r="AW11" s="430" t="s">
        <v>446</v>
      </c>
      <c r="AX11" s="430" t="s">
        <v>446</v>
      </c>
      <c r="AY11" s="430" t="s">
        <v>446</v>
      </c>
      <c r="AZ11" s="430" t="s">
        <v>446</v>
      </c>
      <c r="BA11" s="430" t="s">
        <v>446</v>
      </c>
      <c r="BB11" s="430" t="s">
        <v>446</v>
      </c>
      <c r="BC11" s="430" t="s">
        <v>446</v>
      </c>
      <c r="BD11" s="430" t="s">
        <v>446</v>
      </c>
      <c r="BE11" s="430" t="s">
        <v>446</v>
      </c>
      <c r="BF11" s="430" t="s">
        <v>446</v>
      </c>
      <c r="BG11" s="430" t="s">
        <v>446</v>
      </c>
      <c r="BH11" s="430" t="s">
        <v>446</v>
      </c>
      <c r="BI11" s="430" t="s">
        <v>446</v>
      </c>
      <c r="BJ11" s="430" t="s">
        <v>446</v>
      </c>
      <c r="BK11" s="430" t="s">
        <v>446</v>
      </c>
      <c r="BL11" s="430" t="s">
        <v>446</v>
      </c>
      <c r="BM11" s="430" t="s">
        <v>446</v>
      </c>
      <c r="BN11" s="430" t="s">
        <v>446</v>
      </c>
      <c r="BO11" s="430" t="s">
        <v>446</v>
      </c>
      <c r="BP11" s="430" t="s">
        <v>446</v>
      </c>
      <c r="BQ11" s="430" t="s">
        <v>446</v>
      </c>
      <c r="BR11" s="430" t="s">
        <v>446</v>
      </c>
      <c r="BS11" s="430" t="s">
        <v>446</v>
      </c>
      <c r="BT11" s="430" t="s">
        <v>446</v>
      </c>
      <c r="BU11" s="430" t="s">
        <v>446</v>
      </c>
      <c r="BV11" s="430" t="s">
        <v>446</v>
      </c>
      <c r="BW11" s="430" t="s">
        <v>446</v>
      </c>
      <c r="BX11" s="430" t="s">
        <v>446</v>
      </c>
      <c r="BY11" s="430" t="s">
        <v>446</v>
      </c>
      <c r="BZ11" s="430" t="s">
        <v>446</v>
      </c>
      <c r="CA11" s="430" t="s">
        <v>446</v>
      </c>
      <c r="CB11" s="430" t="s">
        <v>446</v>
      </c>
      <c r="CC11" s="430" t="s">
        <v>446</v>
      </c>
      <c r="CD11" s="430" t="s">
        <v>446</v>
      </c>
      <c r="CE11" s="430" t="s">
        <v>446</v>
      </c>
      <c r="CF11" s="430" t="s">
        <v>446</v>
      </c>
      <c r="CG11" s="430" t="s">
        <v>446</v>
      </c>
      <c r="CH11" s="430" t="s">
        <v>446</v>
      </c>
      <c r="CI11" s="430" t="s">
        <v>446</v>
      </c>
      <c r="CJ11" s="430" t="s">
        <v>446</v>
      </c>
      <c r="CK11" s="430" t="s">
        <v>446</v>
      </c>
      <c r="CL11" s="430" t="s">
        <v>446</v>
      </c>
      <c r="CM11" s="430" t="s">
        <v>446</v>
      </c>
      <c r="CN11" s="430" t="s">
        <v>446</v>
      </c>
      <c r="CO11" s="430" t="s">
        <v>446</v>
      </c>
      <c r="CP11" s="430" t="s">
        <v>446</v>
      </c>
      <c r="CQ11" s="430" t="s">
        <v>446</v>
      </c>
      <c r="CR11" s="430" t="s">
        <v>446</v>
      </c>
      <c r="CS11" s="430" t="s">
        <v>446</v>
      </c>
      <c r="CT11" s="430" t="s">
        <v>446</v>
      </c>
      <c r="CU11" s="430" t="s">
        <v>446</v>
      </c>
      <c r="CV11" s="430" t="s">
        <v>446</v>
      </c>
      <c r="CW11" s="430" t="s">
        <v>446</v>
      </c>
      <c r="CX11" s="430" t="s">
        <v>446</v>
      </c>
      <c r="CY11" s="430" t="s">
        <v>446</v>
      </c>
      <c r="CZ11" s="430" t="s">
        <v>446</v>
      </c>
      <c r="DA11" s="430" t="s">
        <v>446</v>
      </c>
      <c r="DB11" s="430" t="s">
        <v>446</v>
      </c>
      <c r="DC11" s="430" t="s">
        <v>446</v>
      </c>
      <c r="DD11" s="430" t="s">
        <v>446</v>
      </c>
      <c r="DE11" s="430" t="s">
        <v>446</v>
      </c>
      <c r="DF11" s="430" t="s">
        <v>446</v>
      </c>
      <c r="DG11" s="430" t="s">
        <v>446</v>
      </c>
      <c r="DH11" s="430" t="s">
        <v>446</v>
      </c>
      <c r="DI11" s="430" t="s">
        <v>446</v>
      </c>
      <c r="DJ11" s="430" t="s">
        <v>446</v>
      </c>
      <c r="DK11" s="430" t="s">
        <v>446</v>
      </c>
      <c r="DL11" s="430" t="s">
        <v>446</v>
      </c>
      <c r="DM11" s="430" t="s">
        <v>446</v>
      </c>
      <c r="DN11" s="430" t="s">
        <v>446</v>
      </c>
      <c r="DO11" s="430" t="s">
        <v>446</v>
      </c>
      <c r="DP11" s="430" t="s">
        <v>446</v>
      </c>
      <c r="DQ11" s="430" t="s">
        <v>446</v>
      </c>
      <c r="DR11" s="430" t="s">
        <v>446</v>
      </c>
      <c r="DS11" s="430" t="s">
        <v>446</v>
      </c>
      <c r="DT11" s="430" t="s">
        <v>446</v>
      </c>
      <c r="DU11" s="430" t="s">
        <v>446</v>
      </c>
      <c r="DV11" s="430" t="s">
        <v>446</v>
      </c>
      <c r="DW11" s="430" t="s">
        <v>446</v>
      </c>
      <c r="DX11" s="430" t="s">
        <v>446</v>
      </c>
      <c r="DY11" s="430" t="s">
        <v>446</v>
      </c>
      <c r="DZ11" s="430" t="s">
        <v>446</v>
      </c>
      <c r="EA11" s="430" t="s">
        <v>446</v>
      </c>
      <c r="EB11" s="430" t="s">
        <v>446</v>
      </c>
      <c r="EC11" s="430" t="s">
        <v>446</v>
      </c>
      <c r="ED11" s="430" t="s">
        <v>446</v>
      </c>
      <c r="EE11" s="430" t="s">
        <v>446</v>
      </c>
      <c r="EF11" s="430" t="s">
        <v>446</v>
      </c>
      <c r="EG11" s="430" t="s">
        <v>446</v>
      </c>
      <c r="EH11" s="430" t="s">
        <v>446</v>
      </c>
      <c r="EI11" s="430" t="s">
        <v>446</v>
      </c>
      <c r="EJ11" s="430" t="s">
        <v>446</v>
      </c>
      <c r="EK11" s="430" t="s">
        <v>446</v>
      </c>
      <c r="EL11" s="430" t="s">
        <v>446</v>
      </c>
      <c r="EM11" s="430" t="s">
        <v>446</v>
      </c>
      <c r="EN11" s="430" t="s">
        <v>446</v>
      </c>
      <c r="EO11" s="430" t="s">
        <v>446</v>
      </c>
      <c r="EP11" s="430" t="s">
        <v>446</v>
      </c>
      <c r="EQ11" s="430" t="s">
        <v>446</v>
      </c>
      <c r="ER11" s="430" t="s">
        <v>446</v>
      </c>
      <c r="ES11" s="430" t="s">
        <v>446</v>
      </c>
      <c r="ET11" s="430" t="s">
        <v>446</v>
      </c>
      <c r="EU11" s="430" t="s">
        <v>446</v>
      </c>
      <c r="EV11" s="430" t="s">
        <v>446</v>
      </c>
      <c r="EW11" s="430" t="s">
        <v>446</v>
      </c>
      <c r="EX11" s="430" t="s">
        <v>446</v>
      </c>
      <c r="EY11" s="430" t="s">
        <v>446</v>
      </c>
      <c r="EZ11" s="430" t="s">
        <v>446</v>
      </c>
      <c r="FA11" s="430" t="s">
        <v>446</v>
      </c>
      <c r="FB11" s="430" t="s">
        <v>446</v>
      </c>
      <c r="FC11" s="430" t="s">
        <v>446</v>
      </c>
      <c r="FD11" s="430" t="s">
        <v>446</v>
      </c>
      <c r="FE11" s="430" t="s">
        <v>446</v>
      </c>
      <c r="FF11" s="430" t="s">
        <v>446</v>
      </c>
      <c r="FG11" s="430" t="s">
        <v>446</v>
      </c>
      <c r="FH11" s="430" t="s">
        <v>446</v>
      </c>
      <c r="FI11" s="430" t="s">
        <v>446</v>
      </c>
      <c r="FJ11" s="430" t="s">
        <v>446</v>
      </c>
      <c r="FK11" s="430" t="s">
        <v>446</v>
      </c>
      <c r="FL11" s="430" t="s">
        <v>446</v>
      </c>
      <c r="FM11" s="430" t="s">
        <v>446</v>
      </c>
      <c r="FN11" s="430" t="s">
        <v>446</v>
      </c>
      <c r="FO11" s="430" t="s">
        <v>446</v>
      </c>
      <c r="FP11" s="430" t="s">
        <v>446</v>
      </c>
      <c r="FQ11" s="430" t="s">
        <v>446</v>
      </c>
      <c r="FR11" s="430" t="s">
        <v>446</v>
      </c>
      <c r="FS11" s="430" t="s">
        <v>446</v>
      </c>
      <c r="FT11" s="430" t="s">
        <v>446</v>
      </c>
      <c r="FU11" s="430" t="s">
        <v>446</v>
      </c>
      <c r="FV11" s="430" t="s">
        <v>446</v>
      </c>
      <c r="FW11" s="430" t="s">
        <v>446</v>
      </c>
      <c r="FX11" s="430" t="s">
        <v>446</v>
      </c>
      <c r="FY11" s="430" t="s">
        <v>446</v>
      </c>
      <c r="FZ11" s="430" t="s">
        <v>446</v>
      </c>
      <c r="GA11" s="430" t="s">
        <v>446</v>
      </c>
      <c r="GB11" s="430" t="s">
        <v>446</v>
      </c>
      <c r="GC11" s="430" t="s">
        <v>446</v>
      </c>
      <c r="GD11" s="430" t="s">
        <v>446</v>
      </c>
      <c r="GE11" s="430" t="s">
        <v>446</v>
      </c>
      <c r="GF11" s="430" t="s">
        <v>446</v>
      </c>
      <c r="GG11" s="430" t="s">
        <v>446</v>
      </c>
      <c r="GH11" s="430" t="s">
        <v>446</v>
      </c>
      <c r="GI11" s="430" t="s">
        <v>446</v>
      </c>
      <c r="GJ11" s="430" t="s">
        <v>446</v>
      </c>
      <c r="GK11" s="430" t="s">
        <v>446</v>
      </c>
      <c r="GL11" s="430" t="s">
        <v>446</v>
      </c>
      <c r="GM11" s="430" t="s">
        <v>446</v>
      </c>
      <c r="GN11" s="430" t="s">
        <v>446</v>
      </c>
      <c r="GO11" s="430" t="s">
        <v>446</v>
      </c>
      <c r="GP11" s="430" t="s">
        <v>446</v>
      </c>
      <c r="GQ11" s="430" t="s">
        <v>446</v>
      </c>
      <c r="GR11" s="430" t="s">
        <v>446</v>
      </c>
      <c r="GS11" s="430" t="s">
        <v>446</v>
      </c>
      <c r="GT11" s="430" t="s">
        <v>446</v>
      </c>
      <c r="GU11" s="430" t="s">
        <v>446</v>
      </c>
      <c r="GV11" s="430" t="s">
        <v>446</v>
      </c>
      <c r="GW11" s="430" t="s">
        <v>446</v>
      </c>
      <c r="GX11" s="430" t="s">
        <v>446</v>
      </c>
      <c r="GY11" s="430" t="s">
        <v>446</v>
      </c>
      <c r="GZ11" s="430" t="s">
        <v>446</v>
      </c>
      <c r="HA11" s="430" t="s">
        <v>446</v>
      </c>
      <c r="HB11" s="430" t="s">
        <v>446</v>
      </c>
      <c r="HC11" s="430" t="s">
        <v>446</v>
      </c>
      <c r="HD11" s="430" t="s">
        <v>446</v>
      </c>
      <c r="HE11" s="430" t="s">
        <v>446</v>
      </c>
      <c r="HF11" s="430" t="s">
        <v>446</v>
      </c>
      <c r="HG11" s="430" t="s">
        <v>446</v>
      </c>
      <c r="HH11" s="430" t="s">
        <v>446</v>
      </c>
      <c r="HI11" s="430" t="s">
        <v>446</v>
      </c>
      <c r="HJ11" s="430" t="s">
        <v>446</v>
      </c>
      <c r="HK11" s="430" t="s">
        <v>446</v>
      </c>
      <c r="HL11" s="430" t="s">
        <v>446</v>
      </c>
      <c r="HM11" s="430" t="s">
        <v>446</v>
      </c>
      <c r="HN11" s="430" t="s">
        <v>446</v>
      </c>
      <c r="HO11" s="430" t="s">
        <v>446</v>
      </c>
      <c r="HP11" s="430" t="s">
        <v>446</v>
      </c>
      <c r="HQ11" s="430" t="s">
        <v>446</v>
      </c>
      <c r="HR11" s="430" t="s">
        <v>446</v>
      </c>
      <c r="HS11" s="430" t="s">
        <v>446</v>
      </c>
      <c r="HT11" s="430" t="s">
        <v>446</v>
      </c>
      <c r="HU11" s="430" t="s">
        <v>446</v>
      </c>
      <c r="HV11" s="430" t="s">
        <v>446</v>
      </c>
      <c r="HW11" s="430" t="s">
        <v>446</v>
      </c>
      <c r="HX11" s="430" t="s">
        <v>446</v>
      </c>
      <c r="HY11" s="430" t="s">
        <v>446</v>
      </c>
      <c r="HZ11" s="430" t="s">
        <v>446</v>
      </c>
      <c r="IA11" s="430" t="s">
        <v>446</v>
      </c>
      <c r="IB11" s="430" t="s">
        <v>446</v>
      </c>
      <c r="IC11" s="430" t="s">
        <v>446</v>
      </c>
      <c r="ID11" s="430" t="s">
        <v>446</v>
      </c>
      <c r="IE11" s="430" t="s">
        <v>446</v>
      </c>
      <c r="IF11" s="430" t="s">
        <v>446</v>
      </c>
      <c r="IG11" s="430" t="s">
        <v>446</v>
      </c>
      <c r="IH11" s="430" t="s">
        <v>446</v>
      </c>
      <c r="II11" s="430" t="s">
        <v>446</v>
      </c>
      <c r="IJ11" s="430" t="s">
        <v>446</v>
      </c>
      <c r="IK11" s="430" t="s">
        <v>446</v>
      </c>
      <c r="IL11" s="430" t="s">
        <v>446</v>
      </c>
      <c r="IM11" s="430" t="s">
        <v>446</v>
      </c>
      <c r="IN11" s="430" t="s">
        <v>446</v>
      </c>
      <c r="IO11" s="430" t="s">
        <v>446</v>
      </c>
      <c r="IP11" s="430" t="s">
        <v>446</v>
      </c>
      <c r="IQ11" s="430" t="s">
        <v>446</v>
      </c>
      <c r="IR11" s="430" t="s">
        <v>446</v>
      </c>
      <c r="IS11" s="430" t="s">
        <v>446</v>
      </c>
      <c r="IT11" s="430" t="s">
        <v>446</v>
      </c>
      <c r="IU11" s="430" t="s">
        <v>446</v>
      </c>
      <c r="IV11" s="430" t="s">
        <v>446</v>
      </c>
      <c r="IW11" s="430" t="s">
        <v>446</v>
      </c>
      <c r="IX11" s="430" t="s">
        <v>446</v>
      </c>
      <c r="IY11" s="430" t="s">
        <v>446</v>
      </c>
      <c r="IZ11" s="430" t="s">
        <v>446</v>
      </c>
      <c r="JA11" s="430" t="s">
        <v>446</v>
      </c>
      <c r="JB11" s="430" t="s">
        <v>446</v>
      </c>
      <c r="JC11" s="430" t="s">
        <v>446</v>
      </c>
      <c r="JD11" s="430" t="s">
        <v>446</v>
      </c>
      <c r="JE11" s="430" t="s">
        <v>446</v>
      </c>
      <c r="JF11" s="430" t="s">
        <v>446</v>
      </c>
      <c r="JG11" s="430" t="s">
        <v>446</v>
      </c>
      <c r="JH11" s="430" t="s">
        <v>446</v>
      </c>
      <c r="JI11" s="430" t="s">
        <v>446</v>
      </c>
      <c r="JJ11" s="430" t="s">
        <v>446</v>
      </c>
      <c r="JK11" s="430" t="s">
        <v>446</v>
      </c>
      <c r="JL11" s="430" t="s">
        <v>446</v>
      </c>
      <c r="JM11" s="430" t="s">
        <v>446</v>
      </c>
      <c r="JN11" s="430" t="s">
        <v>446</v>
      </c>
      <c r="JO11" s="430" t="s">
        <v>446</v>
      </c>
      <c r="JP11" s="430" t="s">
        <v>446</v>
      </c>
      <c r="JQ11" s="430" t="s">
        <v>446</v>
      </c>
      <c r="JR11" s="430" t="s">
        <v>446</v>
      </c>
      <c r="JS11" s="430" t="s">
        <v>446</v>
      </c>
      <c r="JT11" s="430" t="s">
        <v>446</v>
      </c>
      <c r="JU11" s="430" t="s">
        <v>446</v>
      </c>
      <c r="JV11" s="430" t="s">
        <v>446</v>
      </c>
      <c r="JW11" s="430" t="s">
        <v>446</v>
      </c>
      <c r="JX11" s="430" t="s">
        <v>446</v>
      </c>
      <c r="JY11" s="430" t="s">
        <v>446</v>
      </c>
      <c r="JZ11" s="430" t="s">
        <v>446</v>
      </c>
      <c r="KA11" s="430" t="s">
        <v>446</v>
      </c>
      <c r="KB11" s="430" t="s">
        <v>446</v>
      </c>
      <c r="KC11" s="430" t="s">
        <v>446</v>
      </c>
      <c r="KD11" s="430" t="s">
        <v>446</v>
      </c>
      <c r="KE11" s="430" t="s">
        <v>446</v>
      </c>
      <c r="KF11" s="430" t="s">
        <v>446</v>
      </c>
      <c r="KG11" s="430" t="s">
        <v>446</v>
      </c>
      <c r="KH11" s="430" t="s">
        <v>446</v>
      </c>
      <c r="KI11" s="430" t="s">
        <v>446</v>
      </c>
      <c r="KJ11" s="430" t="s">
        <v>446</v>
      </c>
      <c r="KK11" s="430" t="s">
        <v>446</v>
      </c>
      <c r="KL11" s="430" t="s">
        <v>446</v>
      </c>
      <c r="KM11" s="430" t="s">
        <v>446</v>
      </c>
      <c r="KN11" s="430" t="s">
        <v>446</v>
      </c>
      <c r="KO11" s="430" t="s">
        <v>446</v>
      </c>
      <c r="KP11" s="430" t="s">
        <v>446</v>
      </c>
      <c r="KQ11" s="430" t="s">
        <v>446</v>
      </c>
      <c r="KR11" s="430" t="s">
        <v>446</v>
      </c>
      <c r="KS11" s="430" t="s">
        <v>446</v>
      </c>
      <c r="KT11" s="430" t="s">
        <v>446</v>
      </c>
      <c r="KU11" s="430" t="s">
        <v>446</v>
      </c>
      <c r="KV11" s="430" t="s">
        <v>446</v>
      </c>
      <c r="KW11" s="430" t="s">
        <v>446</v>
      </c>
      <c r="KX11" s="430" t="s">
        <v>446</v>
      </c>
      <c r="KY11" s="430" t="s">
        <v>446</v>
      </c>
      <c r="KZ11" s="430" t="s">
        <v>446</v>
      </c>
      <c r="LA11" s="430" t="s">
        <v>446</v>
      </c>
      <c r="LB11" s="430" t="s">
        <v>446</v>
      </c>
      <c r="LC11" s="430" t="s">
        <v>446</v>
      </c>
      <c r="LD11" s="430" t="s">
        <v>446</v>
      </c>
      <c r="LE11" s="430" t="s">
        <v>446</v>
      </c>
      <c r="LF11" s="430" t="s">
        <v>446</v>
      </c>
      <c r="LG11" s="430" t="s">
        <v>446</v>
      </c>
      <c r="LH11" s="430" t="s">
        <v>446</v>
      </c>
      <c r="LI11" s="430" t="s">
        <v>446</v>
      </c>
      <c r="LJ11" s="430" t="s">
        <v>446</v>
      </c>
      <c r="LK11" s="430" t="s">
        <v>446</v>
      </c>
      <c r="LL11" s="430" t="s">
        <v>446</v>
      </c>
      <c r="LM11" s="430" t="s">
        <v>446</v>
      </c>
      <c r="LN11" s="430" t="s">
        <v>446</v>
      </c>
      <c r="LO11" s="430" t="s">
        <v>446</v>
      </c>
      <c r="LP11" s="430" t="s">
        <v>446</v>
      </c>
      <c r="LQ11" s="430" t="s">
        <v>446</v>
      </c>
      <c r="LR11" s="430" t="s">
        <v>446</v>
      </c>
      <c r="LS11" s="430" t="s">
        <v>446</v>
      </c>
      <c r="LT11" s="430" t="s">
        <v>446</v>
      </c>
      <c r="LU11" s="430" t="s">
        <v>446</v>
      </c>
      <c r="LV11" s="430" t="s">
        <v>446</v>
      </c>
      <c r="LW11" s="430" t="s">
        <v>446</v>
      </c>
      <c r="LX11" s="430" t="s">
        <v>446</v>
      </c>
      <c r="LY11" s="430" t="s">
        <v>446</v>
      </c>
      <c r="LZ11" s="430" t="s">
        <v>446</v>
      </c>
      <c r="MA11" s="430" t="s">
        <v>446</v>
      </c>
      <c r="MB11" s="430" t="s">
        <v>446</v>
      </c>
      <c r="MC11" s="430" t="s">
        <v>446</v>
      </c>
      <c r="MD11" s="430" t="s">
        <v>446</v>
      </c>
      <c r="ME11" s="430" t="s">
        <v>446</v>
      </c>
      <c r="MF11" s="430" t="s">
        <v>446</v>
      </c>
      <c r="MG11" s="430" t="s">
        <v>446</v>
      </c>
      <c r="MH11" s="430" t="s">
        <v>446</v>
      </c>
      <c r="MI11" s="430" t="s">
        <v>446</v>
      </c>
      <c r="MJ11" s="430" t="s">
        <v>446</v>
      </c>
      <c r="MK11" s="430" t="s">
        <v>446</v>
      </c>
      <c r="ML11" s="430" t="s">
        <v>446</v>
      </c>
      <c r="MM11" s="430" t="s">
        <v>446</v>
      </c>
      <c r="MN11" s="430" t="s">
        <v>446</v>
      </c>
      <c r="MO11" s="430" t="s">
        <v>446</v>
      </c>
      <c r="MP11" s="430" t="s">
        <v>446</v>
      </c>
      <c r="MQ11" s="430" t="s">
        <v>446</v>
      </c>
      <c r="MR11" s="430" t="s">
        <v>446</v>
      </c>
      <c r="MS11" s="430" t="s">
        <v>446</v>
      </c>
      <c r="MT11" s="430" t="s">
        <v>446</v>
      </c>
      <c r="MU11" s="430" t="s">
        <v>446</v>
      </c>
      <c r="MV11" s="430" t="s">
        <v>446</v>
      </c>
      <c r="MW11" s="430" t="s">
        <v>446</v>
      </c>
      <c r="MX11" s="430" t="s">
        <v>446</v>
      </c>
      <c r="MY11" s="430" t="s">
        <v>446</v>
      </c>
      <c r="MZ11" s="430" t="s">
        <v>446</v>
      </c>
      <c r="NA11" s="430" t="s">
        <v>446</v>
      </c>
      <c r="NB11" s="430" t="s">
        <v>446</v>
      </c>
      <c r="NC11" s="430" t="s">
        <v>446</v>
      </c>
      <c r="ND11" s="430" t="s">
        <v>446</v>
      </c>
      <c r="NE11" s="430" t="s">
        <v>446</v>
      </c>
      <c r="NF11" s="430" t="s">
        <v>446</v>
      </c>
      <c r="NG11" s="430" t="s">
        <v>446</v>
      </c>
      <c r="NH11" s="430" t="s">
        <v>446</v>
      </c>
      <c r="NI11" s="430" t="s">
        <v>446</v>
      </c>
      <c r="NJ11" s="430" t="s">
        <v>446</v>
      </c>
      <c r="NK11" s="430" t="s">
        <v>446</v>
      </c>
      <c r="NL11" s="430" t="s">
        <v>446</v>
      </c>
      <c r="NM11" s="430" t="s">
        <v>446</v>
      </c>
      <c r="NN11" s="430" t="s">
        <v>446</v>
      </c>
      <c r="NO11" s="430" t="s">
        <v>446</v>
      </c>
      <c r="NP11" s="430" t="s">
        <v>446</v>
      </c>
      <c r="NQ11" s="430" t="s">
        <v>446</v>
      </c>
      <c r="NR11" s="430" t="s">
        <v>446</v>
      </c>
      <c r="NS11" s="430" t="s">
        <v>446</v>
      </c>
      <c r="NT11" s="430" t="s">
        <v>446</v>
      </c>
      <c r="NU11" s="430" t="s">
        <v>446</v>
      </c>
      <c r="NV11" s="430" t="s">
        <v>446</v>
      </c>
      <c r="NW11" s="430" t="s">
        <v>446</v>
      </c>
      <c r="NX11" s="430" t="s">
        <v>446</v>
      </c>
      <c r="NY11" s="430" t="s">
        <v>446</v>
      </c>
      <c r="NZ11" s="430" t="s">
        <v>446</v>
      </c>
      <c r="OA11" s="430" t="s">
        <v>446</v>
      </c>
      <c r="OB11" s="430" t="s">
        <v>446</v>
      </c>
      <c r="OC11" s="430" t="s">
        <v>446</v>
      </c>
      <c r="OD11" s="430" t="s">
        <v>446</v>
      </c>
      <c r="OE11" s="430" t="s">
        <v>446</v>
      </c>
      <c r="OF11" s="430" t="s">
        <v>446</v>
      </c>
      <c r="OG11" s="430" t="s">
        <v>446</v>
      </c>
      <c r="OH11" s="430" t="s">
        <v>446</v>
      </c>
      <c r="OI11" s="430" t="s">
        <v>446</v>
      </c>
      <c r="OJ11" s="430" t="s">
        <v>446</v>
      </c>
      <c r="OK11" s="430" t="s">
        <v>446</v>
      </c>
      <c r="OL11" s="430" t="s">
        <v>446</v>
      </c>
      <c r="OM11" s="430" t="s">
        <v>446</v>
      </c>
      <c r="ON11" s="430" t="s">
        <v>446</v>
      </c>
      <c r="OO11" s="430" t="s">
        <v>446</v>
      </c>
      <c r="OP11" s="430" t="s">
        <v>446</v>
      </c>
      <c r="OQ11" s="430" t="s">
        <v>446</v>
      </c>
      <c r="OR11" s="430" t="s">
        <v>446</v>
      </c>
      <c r="OS11" s="430" t="s">
        <v>446</v>
      </c>
      <c r="OT11" s="430" t="s">
        <v>446</v>
      </c>
      <c r="OU11" s="430" t="s">
        <v>446</v>
      </c>
      <c r="OV11" s="430" t="s">
        <v>446</v>
      </c>
      <c r="OW11" s="430" t="s">
        <v>446</v>
      </c>
      <c r="OX11" s="430" t="s">
        <v>446</v>
      </c>
      <c r="OY11" s="430" t="s">
        <v>446</v>
      </c>
      <c r="OZ11" s="430" t="s">
        <v>446</v>
      </c>
      <c r="PA11" s="430" t="s">
        <v>446</v>
      </c>
      <c r="PB11" s="430" t="s">
        <v>446</v>
      </c>
      <c r="PC11" s="430" t="s">
        <v>446</v>
      </c>
      <c r="PD11" s="430" t="s">
        <v>446</v>
      </c>
      <c r="PE11" s="430" t="s">
        <v>446</v>
      </c>
      <c r="PF11" s="430" t="s">
        <v>446</v>
      </c>
      <c r="PG11" s="430" t="s">
        <v>446</v>
      </c>
      <c r="PH11" s="430" t="s">
        <v>446</v>
      </c>
      <c r="PI11" s="430" t="s">
        <v>446</v>
      </c>
      <c r="PJ11" s="430" t="s">
        <v>446</v>
      </c>
      <c r="PK11" s="430" t="s">
        <v>446</v>
      </c>
      <c r="PL11" s="430" t="s">
        <v>446</v>
      </c>
      <c r="PM11" s="430" t="s">
        <v>446</v>
      </c>
      <c r="PN11" s="430" t="s">
        <v>446</v>
      </c>
      <c r="PO11" s="430" t="s">
        <v>446</v>
      </c>
      <c r="PP11" s="430" t="s">
        <v>446</v>
      </c>
      <c r="PQ11" s="430" t="s">
        <v>446</v>
      </c>
      <c r="PR11" s="430" t="s">
        <v>446</v>
      </c>
      <c r="PS11" s="430" t="s">
        <v>446</v>
      </c>
      <c r="PT11" s="430" t="s">
        <v>446</v>
      </c>
      <c r="PU11" s="430" t="s">
        <v>446</v>
      </c>
      <c r="PV11" s="430" t="s">
        <v>446</v>
      </c>
      <c r="PW11" s="430" t="s">
        <v>446</v>
      </c>
      <c r="PX11" s="430" t="s">
        <v>446</v>
      </c>
      <c r="PY11" s="430" t="s">
        <v>446</v>
      </c>
      <c r="PZ11" s="430" t="s">
        <v>446</v>
      </c>
      <c r="QA11" s="430" t="s">
        <v>446</v>
      </c>
      <c r="QB11" s="430" t="s">
        <v>446</v>
      </c>
      <c r="QC11" s="430" t="s">
        <v>446</v>
      </c>
      <c r="QD11" s="430" t="s">
        <v>446</v>
      </c>
      <c r="QE11" s="430" t="s">
        <v>446</v>
      </c>
      <c r="QF11" s="430" t="s">
        <v>446</v>
      </c>
      <c r="QG11" s="430" t="s">
        <v>446</v>
      </c>
      <c r="QH11" s="430" t="s">
        <v>446</v>
      </c>
      <c r="QI11" s="430" t="s">
        <v>446</v>
      </c>
      <c r="QJ11" s="430" t="s">
        <v>446</v>
      </c>
      <c r="QK11" s="430" t="s">
        <v>446</v>
      </c>
      <c r="QL11" s="430" t="s">
        <v>446</v>
      </c>
      <c r="QM11" s="430" t="s">
        <v>446</v>
      </c>
      <c r="QN11" s="430" t="s">
        <v>446</v>
      </c>
      <c r="QO11" s="442" t="s">
        <v>446</v>
      </c>
    </row>
    <row r="12" spans="1:457" ht="30" customHeight="1" x14ac:dyDescent="0.25">
      <c r="A12" s="431" t="str">
        <f>Salas!A11</f>
        <v>32 - Corte e Costura I</v>
      </c>
      <c r="B12" s="429" t="s">
        <v>446</v>
      </c>
      <c r="C12" s="430" t="s">
        <v>446</v>
      </c>
      <c r="D12" s="430" t="s">
        <v>446</v>
      </c>
      <c r="E12" s="430" t="s">
        <v>446</v>
      </c>
      <c r="F12" s="430" t="s">
        <v>446</v>
      </c>
      <c r="G12" s="430" t="s">
        <v>446</v>
      </c>
      <c r="H12" s="430" t="s">
        <v>446</v>
      </c>
      <c r="I12" s="430" t="s">
        <v>446</v>
      </c>
      <c r="J12" s="430" t="s">
        <v>446</v>
      </c>
      <c r="K12" s="430" t="s">
        <v>446</v>
      </c>
      <c r="L12" s="430" t="s">
        <v>446</v>
      </c>
      <c r="M12" s="430" t="s">
        <v>446</v>
      </c>
      <c r="N12" s="430" t="s">
        <v>446</v>
      </c>
      <c r="O12" s="430" t="s">
        <v>446</v>
      </c>
      <c r="P12" s="430" t="s">
        <v>446</v>
      </c>
      <c r="Q12" s="430" t="s">
        <v>446</v>
      </c>
      <c r="R12" s="430" t="s">
        <v>446</v>
      </c>
      <c r="S12" s="430" t="s">
        <v>446</v>
      </c>
      <c r="T12" s="430" t="s">
        <v>446</v>
      </c>
      <c r="U12" s="430" t="s">
        <v>446</v>
      </c>
      <c r="V12" s="430" t="s">
        <v>446</v>
      </c>
      <c r="W12" s="430" t="s">
        <v>446</v>
      </c>
      <c r="X12" s="430" t="s">
        <v>446</v>
      </c>
      <c r="Y12" s="430" t="s">
        <v>446</v>
      </c>
      <c r="Z12" s="430" t="s">
        <v>446</v>
      </c>
      <c r="AA12" s="430" t="s">
        <v>446</v>
      </c>
      <c r="AB12" s="430" t="s">
        <v>446</v>
      </c>
      <c r="AC12" s="430" t="s">
        <v>446</v>
      </c>
      <c r="AD12" s="430" t="s">
        <v>446</v>
      </c>
      <c r="AE12" s="430" t="s">
        <v>446</v>
      </c>
      <c r="AF12" s="430" t="s">
        <v>446</v>
      </c>
      <c r="AG12" s="430" t="s">
        <v>446</v>
      </c>
      <c r="AH12" s="430" t="s">
        <v>446</v>
      </c>
      <c r="AI12" s="430" t="s">
        <v>446</v>
      </c>
      <c r="AJ12" s="430" t="s">
        <v>446</v>
      </c>
      <c r="AK12" s="430" t="s">
        <v>446</v>
      </c>
      <c r="AL12" s="443" t="s">
        <v>275</v>
      </c>
      <c r="AM12" s="430" t="s">
        <v>446</v>
      </c>
      <c r="AN12" s="430" t="s">
        <v>446</v>
      </c>
      <c r="AO12" s="443" t="s">
        <v>275</v>
      </c>
      <c r="AP12" s="430" t="s">
        <v>446</v>
      </c>
      <c r="AQ12" s="430" t="s">
        <v>446</v>
      </c>
      <c r="AR12" s="443" t="s">
        <v>275</v>
      </c>
      <c r="AS12" s="432" t="s">
        <v>363</v>
      </c>
      <c r="AT12" s="430" t="s">
        <v>446</v>
      </c>
      <c r="AU12" s="443" t="s">
        <v>275</v>
      </c>
      <c r="AV12" s="432" t="s">
        <v>363</v>
      </c>
      <c r="AW12" s="430" t="s">
        <v>446</v>
      </c>
      <c r="AX12" s="443" t="s">
        <v>275</v>
      </c>
      <c r="AY12" s="432" t="s">
        <v>363</v>
      </c>
      <c r="AZ12" s="430" t="s">
        <v>446</v>
      </c>
      <c r="BA12" s="430" t="s">
        <v>446</v>
      </c>
      <c r="BB12" s="430" t="s">
        <v>446</v>
      </c>
      <c r="BC12" s="430" t="s">
        <v>446</v>
      </c>
      <c r="BD12" s="430" t="s">
        <v>446</v>
      </c>
      <c r="BE12" s="430" t="s">
        <v>446</v>
      </c>
      <c r="BF12" s="430" t="s">
        <v>446</v>
      </c>
      <c r="BG12" s="443" t="s">
        <v>275</v>
      </c>
      <c r="BH12" s="432" t="s">
        <v>363</v>
      </c>
      <c r="BI12" s="430" t="s">
        <v>446</v>
      </c>
      <c r="BJ12" s="443" t="s">
        <v>275</v>
      </c>
      <c r="BK12" s="432" t="s">
        <v>363</v>
      </c>
      <c r="BL12" s="430" t="s">
        <v>446</v>
      </c>
      <c r="BM12" s="443" t="s">
        <v>275</v>
      </c>
      <c r="BN12" s="432" t="s">
        <v>363</v>
      </c>
      <c r="BO12" s="430" t="s">
        <v>446</v>
      </c>
      <c r="BP12" s="443" t="s">
        <v>275</v>
      </c>
      <c r="BQ12" s="432" t="s">
        <v>363</v>
      </c>
      <c r="BR12" s="430" t="s">
        <v>446</v>
      </c>
      <c r="BS12" s="443" t="s">
        <v>275</v>
      </c>
      <c r="BT12" s="432" t="s">
        <v>363</v>
      </c>
      <c r="BU12" s="430" t="s">
        <v>446</v>
      </c>
      <c r="BV12" s="430" t="s">
        <v>446</v>
      </c>
      <c r="BW12" s="430" t="s">
        <v>446</v>
      </c>
      <c r="BX12" s="430" t="s">
        <v>446</v>
      </c>
      <c r="BY12" s="430" t="s">
        <v>446</v>
      </c>
      <c r="BZ12" s="430" t="s">
        <v>446</v>
      </c>
      <c r="CA12" s="430" t="s">
        <v>446</v>
      </c>
      <c r="CB12" s="443" t="s">
        <v>275</v>
      </c>
      <c r="CC12" s="432" t="s">
        <v>363</v>
      </c>
      <c r="CD12" s="430" t="s">
        <v>446</v>
      </c>
      <c r="CE12" s="443" t="s">
        <v>275</v>
      </c>
      <c r="CF12" s="432" t="s">
        <v>363</v>
      </c>
      <c r="CG12" s="430" t="s">
        <v>446</v>
      </c>
      <c r="CH12" s="443" t="s">
        <v>275</v>
      </c>
      <c r="CI12" s="432" t="s">
        <v>363</v>
      </c>
      <c r="CJ12" s="430" t="s">
        <v>446</v>
      </c>
      <c r="CK12" s="443" t="s">
        <v>275</v>
      </c>
      <c r="CL12" s="432" t="s">
        <v>363</v>
      </c>
      <c r="CM12" s="430" t="s">
        <v>446</v>
      </c>
      <c r="CN12" s="443" t="s">
        <v>275</v>
      </c>
      <c r="CO12" s="432" t="s">
        <v>363</v>
      </c>
      <c r="CP12" s="430" t="s">
        <v>446</v>
      </c>
      <c r="CQ12" s="430" t="s">
        <v>446</v>
      </c>
      <c r="CR12" s="430" t="s">
        <v>446</v>
      </c>
      <c r="CS12" s="430" t="s">
        <v>446</v>
      </c>
      <c r="CT12" s="430" t="s">
        <v>446</v>
      </c>
      <c r="CU12" s="430" t="s">
        <v>446</v>
      </c>
      <c r="CV12" s="430" t="s">
        <v>446</v>
      </c>
      <c r="CW12" s="443" t="s">
        <v>275</v>
      </c>
      <c r="CX12" s="432" t="s">
        <v>363</v>
      </c>
      <c r="CY12" s="430" t="s">
        <v>446</v>
      </c>
      <c r="CZ12" s="443" t="s">
        <v>275</v>
      </c>
      <c r="DA12" s="432" t="s">
        <v>363</v>
      </c>
      <c r="DB12" s="430" t="s">
        <v>446</v>
      </c>
      <c r="DC12" s="443" t="s">
        <v>275</v>
      </c>
      <c r="DD12" s="432" t="s">
        <v>363</v>
      </c>
      <c r="DE12" s="430" t="s">
        <v>446</v>
      </c>
      <c r="DF12" s="443" t="s">
        <v>275</v>
      </c>
      <c r="DG12" s="432" t="s">
        <v>363</v>
      </c>
      <c r="DH12" s="430" t="s">
        <v>446</v>
      </c>
      <c r="DI12" s="443" t="s">
        <v>275</v>
      </c>
      <c r="DJ12" s="432" t="s">
        <v>363</v>
      </c>
      <c r="DK12" s="430" t="s">
        <v>446</v>
      </c>
      <c r="DL12" s="430" t="s">
        <v>446</v>
      </c>
      <c r="DM12" s="430" t="s">
        <v>446</v>
      </c>
      <c r="DN12" s="430" t="s">
        <v>446</v>
      </c>
      <c r="DO12" s="430" t="s">
        <v>446</v>
      </c>
      <c r="DP12" s="430" t="s">
        <v>446</v>
      </c>
      <c r="DQ12" s="430" t="s">
        <v>446</v>
      </c>
      <c r="DR12" s="443" t="s">
        <v>275</v>
      </c>
      <c r="DS12" s="432" t="s">
        <v>363</v>
      </c>
      <c r="DT12" s="430" t="s">
        <v>446</v>
      </c>
      <c r="DU12" s="443" t="s">
        <v>275</v>
      </c>
      <c r="DV12" s="432" t="s">
        <v>363</v>
      </c>
      <c r="DW12" s="430" t="s">
        <v>446</v>
      </c>
      <c r="DX12" s="430" t="s">
        <v>446</v>
      </c>
      <c r="DY12" s="430" t="s">
        <v>446</v>
      </c>
      <c r="DZ12" s="430" t="s">
        <v>446</v>
      </c>
      <c r="EA12" s="430" t="s">
        <v>446</v>
      </c>
      <c r="EB12" s="430" t="s">
        <v>446</v>
      </c>
      <c r="EC12" s="430" t="s">
        <v>446</v>
      </c>
      <c r="ED12" s="430" t="s">
        <v>446</v>
      </c>
      <c r="EE12" s="430" t="s">
        <v>446</v>
      </c>
      <c r="EF12" s="430" t="s">
        <v>446</v>
      </c>
      <c r="EG12" s="430" t="s">
        <v>446</v>
      </c>
      <c r="EH12" s="430" t="s">
        <v>446</v>
      </c>
      <c r="EI12" s="430" t="s">
        <v>446</v>
      </c>
      <c r="EJ12" s="430" t="s">
        <v>446</v>
      </c>
      <c r="EK12" s="430" t="s">
        <v>446</v>
      </c>
      <c r="EL12" s="430" t="s">
        <v>446</v>
      </c>
      <c r="EM12" s="430" t="s">
        <v>446</v>
      </c>
      <c r="EN12" s="430" t="s">
        <v>446</v>
      </c>
      <c r="EO12" s="430" t="s">
        <v>446</v>
      </c>
      <c r="EP12" s="430" t="s">
        <v>446</v>
      </c>
      <c r="EQ12" s="430" t="s">
        <v>446</v>
      </c>
      <c r="ER12" s="430" t="s">
        <v>446</v>
      </c>
      <c r="ES12" s="430" t="s">
        <v>446</v>
      </c>
      <c r="ET12" s="430" t="s">
        <v>446</v>
      </c>
      <c r="EU12" s="430" t="s">
        <v>446</v>
      </c>
      <c r="EV12" s="430" t="s">
        <v>446</v>
      </c>
      <c r="EW12" s="430" t="s">
        <v>446</v>
      </c>
      <c r="EX12" s="430" t="s">
        <v>446</v>
      </c>
      <c r="EY12" s="430" t="s">
        <v>446</v>
      </c>
      <c r="EZ12" s="430" t="s">
        <v>446</v>
      </c>
      <c r="FA12" s="430" t="s">
        <v>446</v>
      </c>
      <c r="FB12" s="430" t="s">
        <v>446</v>
      </c>
      <c r="FC12" s="430" t="s">
        <v>446</v>
      </c>
      <c r="FD12" s="430" t="s">
        <v>446</v>
      </c>
      <c r="FE12" s="430" t="s">
        <v>446</v>
      </c>
      <c r="FF12" s="430" t="s">
        <v>446</v>
      </c>
      <c r="FG12" s="430" t="s">
        <v>446</v>
      </c>
      <c r="FH12" s="430" t="s">
        <v>446</v>
      </c>
      <c r="FI12" s="430" t="s">
        <v>446</v>
      </c>
      <c r="FJ12" s="430" t="s">
        <v>446</v>
      </c>
      <c r="FK12" s="430" t="s">
        <v>446</v>
      </c>
      <c r="FL12" s="430" t="s">
        <v>446</v>
      </c>
      <c r="FM12" s="430" t="s">
        <v>446</v>
      </c>
      <c r="FN12" s="430" t="s">
        <v>446</v>
      </c>
      <c r="FO12" s="430" t="s">
        <v>446</v>
      </c>
      <c r="FP12" s="430" t="s">
        <v>446</v>
      </c>
      <c r="FQ12" s="430" t="s">
        <v>446</v>
      </c>
      <c r="FR12" s="430" t="s">
        <v>446</v>
      </c>
      <c r="FS12" s="430" t="s">
        <v>446</v>
      </c>
      <c r="FT12" s="430" t="s">
        <v>446</v>
      </c>
      <c r="FU12" s="430" t="s">
        <v>446</v>
      </c>
      <c r="FV12" s="430" t="s">
        <v>446</v>
      </c>
      <c r="FW12" s="430" t="s">
        <v>446</v>
      </c>
      <c r="FX12" s="430" t="s">
        <v>446</v>
      </c>
      <c r="FY12" s="430" t="s">
        <v>446</v>
      </c>
      <c r="FZ12" s="430" t="s">
        <v>446</v>
      </c>
      <c r="GA12" s="430" t="s">
        <v>446</v>
      </c>
      <c r="GB12" s="430" t="s">
        <v>446</v>
      </c>
      <c r="GC12" s="430" t="s">
        <v>446</v>
      </c>
      <c r="GD12" s="430" t="s">
        <v>446</v>
      </c>
      <c r="GE12" s="430" t="s">
        <v>446</v>
      </c>
      <c r="GF12" s="430" t="s">
        <v>446</v>
      </c>
      <c r="GG12" s="430" t="s">
        <v>446</v>
      </c>
      <c r="GH12" s="430" t="s">
        <v>446</v>
      </c>
      <c r="GI12" s="430" t="s">
        <v>446</v>
      </c>
      <c r="GJ12" s="430" t="s">
        <v>446</v>
      </c>
      <c r="GK12" s="430" t="s">
        <v>446</v>
      </c>
      <c r="GL12" s="430" t="s">
        <v>446</v>
      </c>
      <c r="GM12" s="430" t="s">
        <v>446</v>
      </c>
      <c r="GN12" s="430" t="s">
        <v>446</v>
      </c>
      <c r="GO12" s="430" t="s">
        <v>446</v>
      </c>
      <c r="GP12" s="430" t="s">
        <v>446</v>
      </c>
      <c r="GQ12" s="430" t="s">
        <v>446</v>
      </c>
      <c r="GR12" s="430" t="s">
        <v>446</v>
      </c>
      <c r="GS12" s="430" t="s">
        <v>446</v>
      </c>
      <c r="GT12" s="430" t="s">
        <v>446</v>
      </c>
      <c r="GU12" s="430" t="s">
        <v>446</v>
      </c>
      <c r="GV12" s="430" t="s">
        <v>446</v>
      </c>
      <c r="GW12" s="430" t="s">
        <v>446</v>
      </c>
      <c r="GX12" s="430" t="s">
        <v>446</v>
      </c>
      <c r="GY12" s="430" t="s">
        <v>446</v>
      </c>
      <c r="GZ12" s="430" t="s">
        <v>446</v>
      </c>
      <c r="HA12" s="430" t="s">
        <v>446</v>
      </c>
      <c r="HB12" s="430" t="s">
        <v>446</v>
      </c>
      <c r="HC12" s="430" t="s">
        <v>446</v>
      </c>
      <c r="HD12" s="430" t="s">
        <v>446</v>
      </c>
      <c r="HE12" s="430" t="s">
        <v>446</v>
      </c>
      <c r="HF12" s="430" t="s">
        <v>446</v>
      </c>
      <c r="HG12" s="430" t="s">
        <v>446</v>
      </c>
      <c r="HH12" s="430" t="s">
        <v>446</v>
      </c>
      <c r="HI12" s="430" t="s">
        <v>446</v>
      </c>
      <c r="HJ12" s="430" t="s">
        <v>446</v>
      </c>
      <c r="HK12" s="430" t="s">
        <v>446</v>
      </c>
      <c r="HL12" s="430" t="s">
        <v>446</v>
      </c>
      <c r="HM12" s="430" t="s">
        <v>446</v>
      </c>
      <c r="HN12" s="430" t="s">
        <v>446</v>
      </c>
      <c r="HO12" s="430" t="s">
        <v>446</v>
      </c>
      <c r="HP12" s="430" t="s">
        <v>446</v>
      </c>
      <c r="HQ12" s="430" t="s">
        <v>446</v>
      </c>
      <c r="HR12" s="430" t="s">
        <v>446</v>
      </c>
      <c r="HS12" s="430" t="s">
        <v>446</v>
      </c>
      <c r="HT12" s="430" t="s">
        <v>446</v>
      </c>
      <c r="HU12" s="430" t="s">
        <v>446</v>
      </c>
      <c r="HV12" s="430" t="s">
        <v>446</v>
      </c>
      <c r="HW12" s="430" t="s">
        <v>446</v>
      </c>
      <c r="HX12" s="430" t="s">
        <v>446</v>
      </c>
      <c r="HY12" s="430" t="s">
        <v>446</v>
      </c>
      <c r="HZ12" s="430" t="s">
        <v>446</v>
      </c>
      <c r="IA12" s="430" t="s">
        <v>446</v>
      </c>
      <c r="IB12" s="430" t="s">
        <v>446</v>
      </c>
      <c r="IC12" s="430" t="s">
        <v>446</v>
      </c>
      <c r="ID12" s="430" t="s">
        <v>446</v>
      </c>
      <c r="IE12" s="430" t="s">
        <v>446</v>
      </c>
      <c r="IF12" s="430" t="s">
        <v>446</v>
      </c>
      <c r="IG12" s="430" t="s">
        <v>446</v>
      </c>
      <c r="IH12" s="430" t="s">
        <v>446</v>
      </c>
      <c r="II12" s="430" t="s">
        <v>446</v>
      </c>
      <c r="IJ12" s="430" t="s">
        <v>446</v>
      </c>
      <c r="IK12" s="430" t="s">
        <v>446</v>
      </c>
      <c r="IL12" s="430" t="s">
        <v>446</v>
      </c>
      <c r="IM12" s="430" t="s">
        <v>446</v>
      </c>
      <c r="IN12" s="430" t="s">
        <v>446</v>
      </c>
      <c r="IO12" s="430" t="s">
        <v>446</v>
      </c>
      <c r="IP12" s="430" t="s">
        <v>446</v>
      </c>
      <c r="IQ12" s="430" t="s">
        <v>446</v>
      </c>
      <c r="IR12" s="430" t="s">
        <v>446</v>
      </c>
      <c r="IS12" s="430" t="s">
        <v>446</v>
      </c>
      <c r="IT12" s="430" t="s">
        <v>446</v>
      </c>
      <c r="IU12" s="430" t="s">
        <v>446</v>
      </c>
      <c r="IV12" s="430" t="s">
        <v>446</v>
      </c>
      <c r="IW12" s="430" t="s">
        <v>446</v>
      </c>
      <c r="IX12" s="430" t="s">
        <v>446</v>
      </c>
      <c r="IY12" s="430" t="s">
        <v>446</v>
      </c>
      <c r="IZ12" s="430" t="s">
        <v>446</v>
      </c>
      <c r="JA12" s="430" t="s">
        <v>446</v>
      </c>
      <c r="JB12" s="430" t="s">
        <v>446</v>
      </c>
      <c r="JC12" s="430" t="s">
        <v>446</v>
      </c>
      <c r="JD12" s="430" t="s">
        <v>446</v>
      </c>
      <c r="JE12" s="430" t="s">
        <v>446</v>
      </c>
      <c r="JF12" s="430" t="s">
        <v>446</v>
      </c>
      <c r="JG12" s="430" t="s">
        <v>446</v>
      </c>
      <c r="JH12" s="430" t="s">
        <v>446</v>
      </c>
      <c r="JI12" s="430" t="s">
        <v>446</v>
      </c>
      <c r="JJ12" s="430" t="s">
        <v>446</v>
      </c>
      <c r="JK12" s="430" t="s">
        <v>446</v>
      </c>
      <c r="JL12" s="430" t="s">
        <v>446</v>
      </c>
      <c r="JM12" s="430" t="s">
        <v>446</v>
      </c>
      <c r="JN12" s="430" t="s">
        <v>446</v>
      </c>
      <c r="JO12" s="430" t="s">
        <v>446</v>
      </c>
      <c r="JP12" s="430" t="s">
        <v>446</v>
      </c>
      <c r="JQ12" s="430" t="s">
        <v>446</v>
      </c>
      <c r="JR12" s="430" t="s">
        <v>446</v>
      </c>
      <c r="JS12" s="430" t="s">
        <v>446</v>
      </c>
      <c r="JT12" s="430" t="s">
        <v>446</v>
      </c>
      <c r="JU12" s="430" t="s">
        <v>446</v>
      </c>
      <c r="JV12" s="430" t="s">
        <v>446</v>
      </c>
      <c r="JW12" s="430" t="s">
        <v>446</v>
      </c>
      <c r="JX12" s="430" t="s">
        <v>446</v>
      </c>
      <c r="JY12" s="430" t="s">
        <v>446</v>
      </c>
      <c r="JZ12" s="430" t="s">
        <v>446</v>
      </c>
      <c r="KA12" s="430" t="s">
        <v>446</v>
      </c>
      <c r="KB12" s="430" t="s">
        <v>446</v>
      </c>
      <c r="KC12" s="430" t="s">
        <v>446</v>
      </c>
      <c r="KD12" s="430" t="s">
        <v>446</v>
      </c>
      <c r="KE12" s="430" t="s">
        <v>446</v>
      </c>
      <c r="KF12" s="430" t="s">
        <v>446</v>
      </c>
      <c r="KG12" s="430" t="s">
        <v>446</v>
      </c>
      <c r="KH12" s="430" t="s">
        <v>446</v>
      </c>
      <c r="KI12" s="430" t="s">
        <v>446</v>
      </c>
      <c r="KJ12" s="430" t="s">
        <v>446</v>
      </c>
      <c r="KK12" s="430" t="s">
        <v>446</v>
      </c>
      <c r="KL12" s="430" t="s">
        <v>446</v>
      </c>
      <c r="KM12" s="430" t="s">
        <v>446</v>
      </c>
      <c r="KN12" s="430" t="s">
        <v>446</v>
      </c>
      <c r="KO12" s="430" t="s">
        <v>446</v>
      </c>
      <c r="KP12" s="430" t="s">
        <v>446</v>
      </c>
      <c r="KQ12" s="430" t="s">
        <v>446</v>
      </c>
      <c r="KR12" s="430" t="s">
        <v>446</v>
      </c>
      <c r="KS12" s="430" t="s">
        <v>446</v>
      </c>
      <c r="KT12" s="430" t="s">
        <v>446</v>
      </c>
      <c r="KU12" s="430" t="s">
        <v>446</v>
      </c>
      <c r="KV12" s="430" t="s">
        <v>446</v>
      </c>
      <c r="KW12" s="430" t="s">
        <v>446</v>
      </c>
      <c r="KX12" s="430" t="s">
        <v>446</v>
      </c>
      <c r="KY12" s="430" t="s">
        <v>446</v>
      </c>
      <c r="KZ12" s="430" t="s">
        <v>446</v>
      </c>
      <c r="LA12" s="430" t="s">
        <v>446</v>
      </c>
      <c r="LB12" s="430" t="s">
        <v>446</v>
      </c>
      <c r="LC12" s="430" t="s">
        <v>446</v>
      </c>
      <c r="LD12" s="430" t="s">
        <v>446</v>
      </c>
      <c r="LE12" s="430" t="s">
        <v>446</v>
      </c>
      <c r="LF12" s="430" t="s">
        <v>446</v>
      </c>
      <c r="LG12" s="430" t="s">
        <v>446</v>
      </c>
      <c r="LH12" s="430" t="s">
        <v>446</v>
      </c>
      <c r="LI12" s="430" t="s">
        <v>446</v>
      </c>
      <c r="LJ12" s="430" t="s">
        <v>446</v>
      </c>
      <c r="LK12" s="430" t="s">
        <v>446</v>
      </c>
      <c r="LL12" s="430" t="s">
        <v>446</v>
      </c>
      <c r="LM12" s="430" t="s">
        <v>446</v>
      </c>
      <c r="LN12" s="430" t="s">
        <v>446</v>
      </c>
      <c r="LO12" s="430" t="s">
        <v>446</v>
      </c>
      <c r="LP12" s="430" t="s">
        <v>446</v>
      </c>
      <c r="LQ12" s="430" t="s">
        <v>446</v>
      </c>
      <c r="LR12" s="430" t="s">
        <v>446</v>
      </c>
      <c r="LS12" s="430" t="s">
        <v>446</v>
      </c>
      <c r="LT12" s="430" t="s">
        <v>446</v>
      </c>
      <c r="LU12" s="430" t="s">
        <v>446</v>
      </c>
      <c r="LV12" s="430" t="s">
        <v>446</v>
      </c>
      <c r="LW12" s="430" t="s">
        <v>446</v>
      </c>
      <c r="LX12" s="430" t="s">
        <v>446</v>
      </c>
      <c r="LY12" s="430" t="s">
        <v>446</v>
      </c>
      <c r="LZ12" s="430" t="s">
        <v>446</v>
      </c>
      <c r="MA12" s="430" t="s">
        <v>446</v>
      </c>
      <c r="MB12" s="430" t="s">
        <v>446</v>
      </c>
      <c r="MC12" s="430" t="s">
        <v>446</v>
      </c>
      <c r="MD12" s="430" t="s">
        <v>446</v>
      </c>
      <c r="ME12" s="430" t="s">
        <v>446</v>
      </c>
      <c r="MF12" s="430" t="s">
        <v>446</v>
      </c>
      <c r="MG12" s="430" t="s">
        <v>446</v>
      </c>
      <c r="MH12" s="430" t="s">
        <v>446</v>
      </c>
      <c r="MI12" s="430" t="s">
        <v>446</v>
      </c>
      <c r="MJ12" s="430" t="s">
        <v>446</v>
      </c>
      <c r="MK12" s="430" t="s">
        <v>446</v>
      </c>
      <c r="ML12" s="430" t="s">
        <v>446</v>
      </c>
      <c r="MM12" s="430" t="s">
        <v>446</v>
      </c>
      <c r="MN12" s="430" t="s">
        <v>446</v>
      </c>
      <c r="MO12" s="430" t="s">
        <v>446</v>
      </c>
      <c r="MP12" s="430" t="s">
        <v>446</v>
      </c>
      <c r="MQ12" s="430" t="s">
        <v>446</v>
      </c>
      <c r="MR12" s="430" t="s">
        <v>446</v>
      </c>
      <c r="MS12" s="430" t="s">
        <v>446</v>
      </c>
      <c r="MT12" s="430" t="s">
        <v>446</v>
      </c>
      <c r="MU12" s="430" t="s">
        <v>446</v>
      </c>
      <c r="MV12" s="430" t="s">
        <v>446</v>
      </c>
      <c r="MW12" s="430" t="s">
        <v>446</v>
      </c>
      <c r="MX12" s="430" t="s">
        <v>446</v>
      </c>
      <c r="MY12" s="430" t="s">
        <v>446</v>
      </c>
      <c r="MZ12" s="430" t="s">
        <v>446</v>
      </c>
      <c r="NA12" s="430" t="s">
        <v>446</v>
      </c>
      <c r="NB12" s="430" t="s">
        <v>446</v>
      </c>
      <c r="NC12" s="430" t="s">
        <v>446</v>
      </c>
      <c r="ND12" s="430" t="s">
        <v>446</v>
      </c>
      <c r="NE12" s="430" t="s">
        <v>446</v>
      </c>
      <c r="NF12" s="430" t="s">
        <v>446</v>
      </c>
      <c r="NG12" s="430" t="s">
        <v>446</v>
      </c>
      <c r="NH12" s="430" t="s">
        <v>446</v>
      </c>
      <c r="NI12" s="430" t="s">
        <v>446</v>
      </c>
      <c r="NJ12" s="430" t="s">
        <v>446</v>
      </c>
      <c r="NK12" s="430" t="s">
        <v>446</v>
      </c>
      <c r="NL12" s="430" t="s">
        <v>446</v>
      </c>
      <c r="NM12" s="430" t="s">
        <v>446</v>
      </c>
      <c r="NN12" s="430" t="s">
        <v>446</v>
      </c>
      <c r="NO12" s="430" t="s">
        <v>446</v>
      </c>
      <c r="NP12" s="430" t="s">
        <v>446</v>
      </c>
      <c r="NQ12" s="430" t="s">
        <v>446</v>
      </c>
      <c r="NR12" s="430" t="s">
        <v>446</v>
      </c>
      <c r="NS12" s="430" t="s">
        <v>446</v>
      </c>
      <c r="NT12" s="430" t="s">
        <v>446</v>
      </c>
      <c r="NU12" s="430" t="s">
        <v>446</v>
      </c>
      <c r="NV12" s="430" t="s">
        <v>446</v>
      </c>
      <c r="NW12" s="430" t="s">
        <v>446</v>
      </c>
      <c r="NX12" s="430" t="s">
        <v>446</v>
      </c>
      <c r="NY12" s="430" t="s">
        <v>446</v>
      </c>
      <c r="NZ12" s="430" t="s">
        <v>446</v>
      </c>
      <c r="OA12" s="430" t="s">
        <v>446</v>
      </c>
      <c r="OB12" s="430" t="s">
        <v>446</v>
      </c>
      <c r="OC12" s="430" t="s">
        <v>446</v>
      </c>
      <c r="OD12" s="430" t="s">
        <v>446</v>
      </c>
      <c r="OE12" s="430" t="s">
        <v>446</v>
      </c>
      <c r="OF12" s="430" t="s">
        <v>446</v>
      </c>
      <c r="OG12" s="430" t="s">
        <v>446</v>
      </c>
      <c r="OH12" s="430" t="s">
        <v>446</v>
      </c>
      <c r="OI12" s="430" t="s">
        <v>446</v>
      </c>
      <c r="OJ12" s="430" t="s">
        <v>446</v>
      </c>
      <c r="OK12" s="430" t="s">
        <v>446</v>
      </c>
      <c r="OL12" s="430" t="s">
        <v>446</v>
      </c>
      <c r="OM12" s="430" t="s">
        <v>446</v>
      </c>
      <c r="ON12" s="430" t="s">
        <v>446</v>
      </c>
      <c r="OO12" s="430" t="s">
        <v>446</v>
      </c>
      <c r="OP12" s="430" t="s">
        <v>446</v>
      </c>
      <c r="OQ12" s="430" t="s">
        <v>446</v>
      </c>
      <c r="OR12" s="430" t="s">
        <v>446</v>
      </c>
      <c r="OS12" s="430" t="s">
        <v>446</v>
      </c>
      <c r="OT12" s="430" t="s">
        <v>446</v>
      </c>
      <c r="OU12" s="430" t="s">
        <v>446</v>
      </c>
      <c r="OV12" s="430" t="s">
        <v>446</v>
      </c>
      <c r="OW12" s="430" t="s">
        <v>446</v>
      </c>
      <c r="OX12" s="430" t="s">
        <v>446</v>
      </c>
      <c r="OY12" s="430" t="s">
        <v>446</v>
      </c>
      <c r="OZ12" s="430" t="s">
        <v>446</v>
      </c>
      <c r="PA12" s="430" t="s">
        <v>446</v>
      </c>
      <c r="PB12" s="430" t="s">
        <v>446</v>
      </c>
      <c r="PC12" s="430" t="s">
        <v>446</v>
      </c>
      <c r="PD12" s="430" t="s">
        <v>446</v>
      </c>
      <c r="PE12" s="430" t="s">
        <v>446</v>
      </c>
      <c r="PF12" s="430" t="s">
        <v>446</v>
      </c>
      <c r="PG12" s="430" t="s">
        <v>446</v>
      </c>
      <c r="PH12" s="430" t="s">
        <v>446</v>
      </c>
      <c r="PI12" s="430" t="s">
        <v>446</v>
      </c>
      <c r="PJ12" s="430" t="s">
        <v>446</v>
      </c>
      <c r="PK12" s="430" t="s">
        <v>446</v>
      </c>
      <c r="PL12" s="430" t="s">
        <v>446</v>
      </c>
      <c r="PM12" s="430" t="s">
        <v>446</v>
      </c>
      <c r="PN12" s="430" t="s">
        <v>446</v>
      </c>
      <c r="PO12" s="430" t="s">
        <v>446</v>
      </c>
      <c r="PP12" s="430" t="s">
        <v>446</v>
      </c>
      <c r="PQ12" s="430" t="s">
        <v>446</v>
      </c>
      <c r="PR12" s="430" t="s">
        <v>446</v>
      </c>
      <c r="PS12" s="430" t="s">
        <v>446</v>
      </c>
      <c r="PT12" s="430" t="s">
        <v>446</v>
      </c>
      <c r="PU12" s="430" t="s">
        <v>446</v>
      </c>
      <c r="PV12" s="430" t="s">
        <v>446</v>
      </c>
      <c r="PW12" s="430" t="s">
        <v>446</v>
      </c>
      <c r="PX12" s="430" t="s">
        <v>446</v>
      </c>
      <c r="PY12" s="430" t="s">
        <v>446</v>
      </c>
      <c r="PZ12" s="430" t="s">
        <v>446</v>
      </c>
      <c r="QA12" s="430" t="s">
        <v>446</v>
      </c>
      <c r="QB12" s="430" t="s">
        <v>446</v>
      </c>
      <c r="QC12" s="430" t="s">
        <v>446</v>
      </c>
      <c r="QD12" s="430" t="s">
        <v>446</v>
      </c>
      <c r="QE12" s="430" t="s">
        <v>446</v>
      </c>
      <c r="QF12" s="430" t="s">
        <v>446</v>
      </c>
      <c r="QG12" s="430" t="s">
        <v>446</v>
      </c>
      <c r="QH12" s="430" t="s">
        <v>446</v>
      </c>
      <c r="QI12" s="430" t="s">
        <v>446</v>
      </c>
      <c r="QJ12" s="430" t="s">
        <v>446</v>
      </c>
      <c r="QK12" s="430" t="s">
        <v>446</v>
      </c>
      <c r="QL12" s="430" t="s">
        <v>446</v>
      </c>
      <c r="QM12" s="430" t="s">
        <v>446</v>
      </c>
      <c r="QN12" s="430" t="s">
        <v>446</v>
      </c>
      <c r="QO12" s="442" t="s">
        <v>446</v>
      </c>
    </row>
    <row r="13" spans="1:457" ht="30" customHeight="1" x14ac:dyDescent="0.25">
      <c r="A13" s="431" t="str">
        <f>Salas!A12</f>
        <v>33 - Corte e Costura II</v>
      </c>
      <c r="B13" s="429" t="s">
        <v>446</v>
      </c>
      <c r="C13" s="430" t="s">
        <v>446</v>
      </c>
      <c r="D13" s="430" t="s">
        <v>446</v>
      </c>
      <c r="E13" s="430" t="s">
        <v>446</v>
      </c>
      <c r="F13" s="430" t="s">
        <v>446</v>
      </c>
      <c r="G13" s="430" t="s">
        <v>446</v>
      </c>
      <c r="H13" s="430" t="s">
        <v>446</v>
      </c>
      <c r="I13" s="430" t="s">
        <v>446</v>
      </c>
      <c r="J13" s="430" t="s">
        <v>446</v>
      </c>
      <c r="K13" s="430" t="s">
        <v>446</v>
      </c>
      <c r="L13" s="430" t="s">
        <v>446</v>
      </c>
      <c r="M13" s="430" t="s">
        <v>446</v>
      </c>
      <c r="N13" s="430" t="s">
        <v>446</v>
      </c>
      <c r="O13" s="430" t="s">
        <v>446</v>
      </c>
      <c r="P13" s="430" t="s">
        <v>446</v>
      </c>
      <c r="Q13" s="430" t="s">
        <v>446</v>
      </c>
      <c r="R13" s="430" t="s">
        <v>446</v>
      </c>
      <c r="S13" s="430" t="s">
        <v>446</v>
      </c>
      <c r="T13" s="430" t="s">
        <v>446</v>
      </c>
      <c r="U13" s="430" t="s">
        <v>446</v>
      </c>
      <c r="V13" s="430" t="s">
        <v>446</v>
      </c>
      <c r="W13" s="430" t="s">
        <v>446</v>
      </c>
      <c r="X13" s="430" t="s">
        <v>446</v>
      </c>
      <c r="Y13" s="430" t="s">
        <v>446</v>
      </c>
      <c r="Z13" s="430" t="s">
        <v>446</v>
      </c>
      <c r="AA13" s="430" t="s">
        <v>446</v>
      </c>
      <c r="AB13" s="430" t="s">
        <v>446</v>
      </c>
      <c r="AC13" s="430" t="s">
        <v>446</v>
      </c>
      <c r="AD13" s="430" t="s">
        <v>446</v>
      </c>
      <c r="AE13" s="430" t="s">
        <v>446</v>
      </c>
      <c r="AF13" s="430" t="s">
        <v>446</v>
      </c>
      <c r="AG13" s="430" t="s">
        <v>446</v>
      </c>
      <c r="AH13" s="430" t="s">
        <v>446</v>
      </c>
      <c r="AI13" s="430" t="s">
        <v>446</v>
      </c>
      <c r="AJ13" s="430" t="s">
        <v>446</v>
      </c>
      <c r="AK13" s="430" t="s">
        <v>446</v>
      </c>
      <c r="AL13" s="430" t="s">
        <v>446</v>
      </c>
      <c r="AM13" s="430" t="s">
        <v>446</v>
      </c>
      <c r="AN13" s="430" t="s">
        <v>446</v>
      </c>
      <c r="AO13" s="430" t="s">
        <v>446</v>
      </c>
      <c r="AP13" s="430" t="s">
        <v>446</v>
      </c>
      <c r="AQ13" s="430" t="s">
        <v>446</v>
      </c>
      <c r="AR13" s="430" t="s">
        <v>446</v>
      </c>
      <c r="AS13" s="430" t="s">
        <v>446</v>
      </c>
      <c r="AT13" s="430" t="s">
        <v>446</v>
      </c>
      <c r="AU13" s="430" t="s">
        <v>446</v>
      </c>
      <c r="AV13" s="430" t="s">
        <v>446</v>
      </c>
      <c r="AW13" s="430" t="s">
        <v>446</v>
      </c>
      <c r="AX13" s="430" t="s">
        <v>446</v>
      </c>
      <c r="AY13" s="430" t="s">
        <v>446</v>
      </c>
      <c r="AZ13" s="430" t="s">
        <v>446</v>
      </c>
      <c r="BA13" s="430" t="s">
        <v>446</v>
      </c>
      <c r="BB13" s="430" t="s">
        <v>446</v>
      </c>
      <c r="BC13" s="430" t="s">
        <v>446</v>
      </c>
      <c r="BD13" s="430" t="s">
        <v>446</v>
      </c>
      <c r="BE13" s="430" t="s">
        <v>446</v>
      </c>
      <c r="BF13" s="430" t="s">
        <v>446</v>
      </c>
      <c r="BG13" s="430" t="s">
        <v>446</v>
      </c>
      <c r="BH13" s="430" t="s">
        <v>446</v>
      </c>
      <c r="BI13" s="430" t="s">
        <v>446</v>
      </c>
      <c r="BJ13" s="430" t="s">
        <v>446</v>
      </c>
      <c r="BK13" s="430" t="s">
        <v>446</v>
      </c>
      <c r="BL13" s="430" t="s">
        <v>446</v>
      </c>
      <c r="BM13" s="430" t="s">
        <v>446</v>
      </c>
      <c r="BN13" s="430" t="s">
        <v>446</v>
      </c>
      <c r="BO13" s="430" t="s">
        <v>446</v>
      </c>
      <c r="BP13" s="430" t="s">
        <v>446</v>
      </c>
      <c r="BQ13" s="430" t="s">
        <v>446</v>
      </c>
      <c r="BR13" s="430" t="s">
        <v>446</v>
      </c>
      <c r="BS13" s="430" t="s">
        <v>446</v>
      </c>
      <c r="BT13" s="430" t="s">
        <v>446</v>
      </c>
      <c r="BU13" s="430" t="s">
        <v>446</v>
      </c>
      <c r="BV13" s="430" t="s">
        <v>446</v>
      </c>
      <c r="BW13" s="430" t="s">
        <v>446</v>
      </c>
      <c r="BX13" s="430" t="s">
        <v>446</v>
      </c>
      <c r="BY13" s="430" t="s">
        <v>446</v>
      </c>
      <c r="BZ13" s="430" t="s">
        <v>446</v>
      </c>
      <c r="CA13" s="430" t="s">
        <v>446</v>
      </c>
      <c r="CB13" s="430" t="s">
        <v>446</v>
      </c>
      <c r="CC13" s="430" t="s">
        <v>446</v>
      </c>
      <c r="CD13" s="430" t="s">
        <v>446</v>
      </c>
      <c r="CE13" s="430" t="s">
        <v>446</v>
      </c>
      <c r="CF13" s="430" t="s">
        <v>446</v>
      </c>
      <c r="CG13" s="430" t="s">
        <v>446</v>
      </c>
      <c r="CH13" s="430" t="s">
        <v>446</v>
      </c>
      <c r="CI13" s="430" t="s">
        <v>446</v>
      </c>
      <c r="CJ13" s="430" t="s">
        <v>446</v>
      </c>
      <c r="CK13" s="430" t="s">
        <v>446</v>
      </c>
      <c r="CL13" s="430" t="s">
        <v>446</v>
      </c>
      <c r="CM13" s="430" t="s">
        <v>446</v>
      </c>
      <c r="CN13" s="430" t="s">
        <v>446</v>
      </c>
      <c r="CO13" s="430" t="s">
        <v>446</v>
      </c>
      <c r="CP13" s="430" t="s">
        <v>446</v>
      </c>
      <c r="CQ13" s="430" t="s">
        <v>446</v>
      </c>
      <c r="CR13" s="430" t="s">
        <v>446</v>
      </c>
      <c r="CS13" s="430" t="s">
        <v>446</v>
      </c>
      <c r="CT13" s="430" t="s">
        <v>446</v>
      </c>
      <c r="CU13" s="430" t="s">
        <v>446</v>
      </c>
      <c r="CV13" s="430" t="s">
        <v>446</v>
      </c>
      <c r="CW13" s="430" t="s">
        <v>446</v>
      </c>
      <c r="CX13" s="430" t="s">
        <v>446</v>
      </c>
      <c r="CY13" s="430" t="s">
        <v>446</v>
      </c>
      <c r="CZ13" s="430" t="s">
        <v>446</v>
      </c>
      <c r="DA13" s="430" t="s">
        <v>446</v>
      </c>
      <c r="DB13" s="430" t="s">
        <v>446</v>
      </c>
      <c r="DC13" s="430" t="s">
        <v>446</v>
      </c>
      <c r="DD13" s="430" t="s">
        <v>446</v>
      </c>
      <c r="DE13" s="430" t="s">
        <v>446</v>
      </c>
      <c r="DF13" s="430" t="s">
        <v>446</v>
      </c>
      <c r="DG13" s="430" t="s">
        <v>446</v>
      </c>
      <c r="DH13" s="430" t="s">
        <v>446</v>
      </c>
      <c r="DI13" s="430" t="s">
        <v>446</v>
      </c>
      <c r="DJ13" s="430" t="s">
        <v>446</v>
      </c>
      <c r="DK13" s="430" t="s">
        <v>446</v>
      </c>
      <c r="DL13" s="430" t="s">
        <v>446</v>
      </c>
      <c r="DM13" s="430" t="s">
        <v>446</v>
      </c>
      <c r="DN13" s="430" t="s">
        <v>446</v>
      </c>
      <c r="DO13" s="430" t="s">
        <v>446</v>
      </c>
      <c r="DP13" s="430" t="s">
        <v>446</v>
      </c>
      <c r="DQ13" s="430" t="s">
        <v>446</v>
      </c>
      <c r="DR13" s="430" t="s">
        <v>446</v>
      </c>
      <c r="DS13" s="430" t="s">
        <v>446</v>
      </c>
      <c r="DT13" s="430" t="s">
        <v>446</v>
      </c>
      <c r="DU13" s="430" t="s">
        <v>446</v>
      </c>
      <c r="DV13" s="430" t="s">
        <v>446</v>
      </c>
      <c r="DW13" s="430" t="s">
        <v>446</v>
      </c>
      <c r="DX13" s="430" t="s">
        <v>446</v>
      </c>
      <c r="DY13" s="430" t="s">
        <v>446</v>
      </c>
      <c r="DZ13" s="430" t="s">
        <v>446</v>
      </c>
      <c r="EA13" s="430" t="s">
        <v>446</v>
      </c>
      <c r="EB13" s="430" t="s">
        <v>446</v>
      </c>
      <c r="EC13" s="430" t="s">
        <v>446</v>
      </c>
      <c r="ED13" s="430" t="s">
        <v>446</v>
      </c>
      <c r="EE13" s="430" t="s">
        <v>446</v>
      </c>
      <c r="EF13" s="430" t="s">
        <v>446</v>
      </c>
      <c r="EG13" s="430" t="s">
        <v>446</v>
      </c>
      <c r="EH13" s="430" t="s">
        <v>446</v>
      </c>
      <c r="EI13" s="430" t="s">
        <v>446</v>
      </c>
      <c r="EJ13" s="430" t="s">
        <v>446</v>
      </c>
      <c r="EK13" s="430" t="s">
        <v>446</v>
      </c>
      <c r="EL13" s="430" t="s">
        <v>446</v>
      </c>
      <c r="EM13" s="430" t="s">
        <v>446</v>
      </c>
      <c r="EN13" s="430" t="s">
        <v>446</v>
      </c>
      <c r="EO13" s="430" t="s">
        <v>446</v>
      </c>
      <c r="EP13" s="430" t="s">
        <v>446</v>
      </c>
      <c r="EQ13" s="430" t="s">
        <v>446</v>
      </c>
      <c r="ER13" s="430" t="s">
        <v>446</v>
      </c>
      <c r="ES13" s="430" t="s">
        <v>446</v>
      </c>
      <c r="ET13" s="430" t="s">
        <v>446</v>
      </c>
      <c r="EU13" s="430" t="s">
        <v>446</v>
      </c>
      <c r="EV13" s="430" t="s">
        <v>446</v>
      </c>
      <c r="EW13" s="430" t="s">
        <v>446</v>
      </c>
      <c r="EX13" s="430" t="s">
        <v>446</v>
      </c>
      <c r="EY13" s="430" t="s">
        <v>446</v>
      </c>
      <c r="EZ13" s="430" t="s">
        <v>446</v>
      </c>
      <c r="FA13" s="430" t="s">
        <v>446</v>
      </c>
      <c r="FB13" s="430" t="s">
        <v>446</v>
      </c>
      <c r="FC13" s="430" t="s">
        <v>446</v>
      </c>
      <c r="FD13" s="430" t="s">
        <v>446</v>
      </c>
      <c r="FE13" s="430" t="s">
        <v>446</v>
      </c>
      <c r="FF13" s="430" t="s">
        <v>446</v>
      </c>
      <c r="FG13" s="430" t="s">
        <v>446</v>
      </c>
      <c r="FH13" s="430" t="s">
        <v>446</v>
      </c>
      <c r="FI13" s="430" t="s">
        <v>446</v>
      </c>
      <c r="FJ13" s="430" t="s">
        <v>446</v>
      </c>
      <c r="FK13" s="430" t="s">
        <v>446</v>
      </c>
      <c r="FL13" s="430" t="s">
        <v>446</v>
      </c>
      <c r="FM13" s="430" t="s">
        <v>446</v>
      </c>
      <c r="FN13" s="430" t="s">
        <v>446</v>
      </c>
      <c r="FO13" s="430" t="s">
        <v>446</v>
      </c>
      <c r="FP13" s="430" t="s">
        <v>446</v>
      </c>
      <c r="FQ13" s="430" t="s">
        <v>446</v>
      </c>
      <c r="FR13" s="430" t="s">
        <v>446</v>
      </c>
      <c r="FS13" s="430" t="s">
        <v>446</v>
      </c>
      <c r="FT13" s="430" t="s">
        <v>446</v>
      </c>
      <c r="FU13" s="430" t="s">
        <v>446</v>
      </c>
      <c r="FV13" s="430" t="s">
        <v>446</v>
      </c>
      <c r="FW13" s="430" t="s">
        <v>446</v>
      </c>
      <c r="FX13" s="430" t="s">
        <v>446</v>
      </c>
      <c r="FY13" s="430" t="s">
        <v>446</v>
      </c>
      <c r="FZ13" s="430" t="s">
        <v>446</v>
      </c>
      <c r="GA13" s="430" t="s">
        <v>446</v>
      </c>
      <c r="GB13" s="430" t="s">
        <v>446</v>
      </c>
      <c r="GC13" s="430" t="s">
        <v>446</v>
      </c>
      <c r="GD13" s="430" t="s">
        <v>446</v>
      </c>
      <c r="GE13" s="430" t="s">
        <v>446</v>
      </c>
      <c r="GF13" s="430" t="s">
        <v>446</v>
      </c>
      <c r="GG13" s="430" t="s">
        <v>446</v>
      </c>
      <c r="GH13" s="430" t="s">
        <v>446</v>
      </c>
      <c r="GI13" s="430" t="s">
        <v>446</v>
      </c>
      <c r="GJ13" s="430" t="s">
        <v>446</v>
      </c>
      <c r="GK13" s="430" t="s">
        <v>446</v>
      </c>
      <c r="GL13" s="430" t="s">
        <v>446</v>
      </c>
      <c r="GM13" s="430" t="s">
        <v>446</v>
      </c>
      <c r="GN13" s="430" t="s">
        <v>446</v>
      </c>
      <c r="GO13" s="430" t="s">
        <v>446</v>
      </c>
      <c r="GP13" s="430" t="s">
        <v>446</v>
      </c>
      <c r="GQ13" s="430" t="s">
        <v>446</v>
      </c>
      <c r="GR13" s="430" t="s">
        <v>446</v>
      </c>
      <c r="GS13" s="430" t="s">
        <v>446</v>
      </c>
      <c r="GT13" s="430" t="s">
        <v>446</v>
      </c>
      <c r="GU13" s="430" t="s">
        <v>446</v>
      </c>
      <c r="GV13" s="430" t="s">
        <v>446</v>
      </c>
      <c r="GW13" s="430" t="s">
        <v>446</v>
      </c>
      <c r="GX13" s="430" t="s">
        <v>446</v>
      </c>
      <c r="GY13" s="430" t="s">
        <v>446</v>
      </c>
      <c r="GZ13" s="430" t="s">
        <v>446</v>
      </c>
      <c r="HA13" s="430" t="s">
        <v>446</v>
      </c>
      <c r="HB13" s="430" t="s">
        <v>446</v>
      </c>
      <c r="HC13" s="430" t="s">
        <v>446</v>
      </c>
      <c r="HD13" s="430" t="s">
        <v>446</v>
      </c>
      <c r="HE13" s="430" t="s">
        <v>446</v>
      </c>
      <c r="HF13" s="430" t="s">
        <v>446</v>
      </c>
      <c r="HG13" s="430" t="s">
        <v>446</v>
      </c>
      <c r="HH13" s="430" t="s">
        <v>446</v>
      </c>
      <c r="HI13" s="430" t="s">
        <v>446</v>
      </c>
      <c r="HJ13" s="430" t="s">
        <v>446</v>
      </c>
      <c r="HK13" s="430" t="s">
        <v>446</v>
      </c>
      <c r="HL13" s="430" t="s">
        <v>446</v>
      </c>
      <c r="HM13" s="430" t="s">
        <v>446</v>
      </c>
      <c r="HN13" s="430" t="s">
        <v>446</v>
      </c>
      <c r="HO13" s="430" t="s">
        <v>446</v>
      </c>
      <c r="HP13" s="430" t="s">
        <v>446</v>
      </c>
      <c r="HQ13" s="430" t="s">
        <v>446</v>
      </c>
      <c r="HR13" s="430" t="s">
        <v>446</v>
      </c>
      <c r="HS13" s="430" t="s">
        <v>446</v>
      </c>
      <c r="HT13" s="430" t="s">
        <v>446</v>
      </c>
      <c r="HU13" s="430" t="s">
        <v>446</v>
      </c>
      <c r="HV13" s="430" t="s">
        <v>446</v>
      </c>
      <c r="HW13" s="430" t="s">
        <v>446</v>
      </c>
      <c r="HX13" s="430" t="s">
        <v>446</v>
      </c>
      <c r="HY13" s="430" t="s">
        <v>446</v>
      </c>
      <c r="HZ13" s="430" t="s">
        <v>446</v>
      </c>
      <c r="IA13" s="430" t="s">
        <v>446</v>
      </c>
      <c r="IB13" s="430" t="s">
        <v>446</v>
      </c>
      <c r="IC13" s="430" t="s">
        <v>446</v>
      </c>
      <c r="ID13" s="430" t="s">
        <v>446</v>
      </c>
      <c r="IE13" s="430" t="s">
        <v>446</v>
      </c>
      <c r="IF13" s="430" t="s">
        <v>446</v>
      </c>
      <c r="IG13" s="430" t="s">
        <v>446</v>
      </c>
      <c r="IH13" s="430" t="s">
        <v>446</v>
      </c>
      <c r="II13" s="430" t="s">
        <v>446</v>
      </c>
      <c r="IJ13" s="430" t="s">
        <v>446</v>
      </c>
      <c r="IK13" s="430" t="s">
        <v>446</v>
      </c>
      <c r="IL13" s="430" t="s">
        <v>446</v>
      </c>
      <c r="IM13" s="430" t="s">
        <v>446</v>
      </c>
      <c r="IN13" s="430" t="s">
        <v>446</v>
      </c>
      <c r="IO13" s="430" t="s">
        <v>446</v>
      </c>
      <c r="IP13" s="430" t="s">
        <v>446</v>
      </c>
      <c r="IQ13" s="430" t="s">
        <v>446</v>
      </c>
      <c r="IR13" s="430" t="s">
        <v>446</v>
      </c>
      <c r="IS13" s="430" t="s">
        <v>446</v>
      </c>
      <c r="IT13" s="430" t="s">
        <v>446</v>
      </c>
      <c r="IU13" s="430" t="s">
        <v>446</v>
      </c>
      <c r="IV13" s="430" t="s">
        <v>446</v>
      </c>
      <c r="IW13" s="430" t="s">
        <v>446</v>
      </c>
      <c r="IX13" s="430" t="s">
        <v>446</v>
      </c>
      <c r="IY13" s="430" t="s">
        <v>446</v>
      </c>
      <c r="IZ13" s="430" t="s">
        <v>446</v>
      </c>
      <c r="JA13" s="430" t="s">
        <v>446</v>
      </c>
      <c r="JB13" s="430" t="s">
        <v>446</v>
      </c>
      <c r="JC13" s="430" t="s">
        <v>446</v>
      </c>
      <c r="JD13" s="430" t="s">
        <v>446</v>
      </c>
      <c r="JE13" s="430" t="s">
        <v>446</v>
      </c>
      <c r="JF13" s="430" t="s">
        <v>446</v>
      </c>
      <c r="JG13" s="430" t="s">
        <v>446</v>
      </c>
      <c r="JH13" s="430" t="s">
        <v>446</v>
      </c>
      <c r="JI13" s="430" t="s">
        <v>446</v>
      </c>
      <c r="JJ13" s="430" t="s">
        <v>446</v>
      </c>
      <c r="JK13" s="430" t="s">
        <v>446</v>
      </c>
      <c r="JL13" s="430" t="s">
        <v>446</v>
      </c>
      <c r="JM13" s="430" t="s">
        <v>446</v>
      </c>
      <c r="JN13" s="430" t="s">
        <v>446</v>
      </c>
      <c r="JO13" s="430" t="s">
        <v>446</v>
      </c>
      <c r="JP13" s="430" t="s">
        <v>446</v>
      </c>
      <c r="JQ13" s="430" t="s">
        <v>446</v>
      </c>
      <c r="JR13" s="430" t="s">
        <v>446</v>
      </c>
      <c r="JS13" s="430" t="s">
        <v>446</v>
      </c>
      <c r="JT13" s="430" t="s">
        <v>446</v>
      </c>
      <c r="JU13" s="430" t="s">
        <v>446</v>
      </c>
      <c r="JV13" s="430" t="s">
        <v>446</v>
      </c>
      <c r="JW13" s="430" t="s">
        <v>446</v>
      </c>
      <c r="JX13" s="430" t="s">
        <v>446</v>
      </c>
      <c r="JY13" s="430" t="s">
        <v>446</v>
      </c>
      <c r="JZ13" s="430" t="s">
        <v>446</v>
      </c>
      <c r="KA13" s="430" t="s">
        <v>446</v>
      </c>
      <c r="KB13" s="430" t="s">
        <v>446</v>
      </c>
      <c r="KC13" s="430" t="s">
        <v>446</v>
      </c>
      <c r="KD13" s="430" t="s">
        <v>446</v>
      </c>
      <c r="KE13" s="430" t="s">
        <v>446</v>
      </c>
      <c r="KF13" s="430" t="s">
        <v>446</v>
      </c>
      <c r="KG13" s="430" t="s">
        <v>446</v>
      </c>
      <c r="KH13" s="430" t="s">
        <v>446</v>
      </c>
      <c r="KI13" s="430" t="s">
        <v>446</v>
      </c>
      <c r="KJ13" s="430" t="s">
        <v>446</v>
      </c>
      <c r="KK13" s="430" t="s">
        <v>446</v>
      </c>
      <c r="KL13" s="430" t="s">
        <v>446</v>
      </c>
      <c r="KM13" s="430" t="s">
        <v>446</v>
      </c>
      <c r="KN13" s="430" t="s">
        <v>446</v>
      </c>
      <c r="KO13" s="430" t="s">
        <v>446</v>
      </c>
      <c r="KP13" s="430" t="s">
        <v>446</v>
      </c>
      <c r="KQ13" s="430" t="s">
        <v>446</v>
      </c>
      <c r="KR13" s="430" t="s">
        <v>446</v>
      </c>
      <c r="KS13" s="430" t="s">
        <v>446</v>
      </c>
      <c r="KT13" s="430" t="s">
        <v>446</v>
      </c>
      <c r="KU13" s="430" t="s">
        <v>446</v>
      </c>
      <c r="KV13" s="430" t="s">
        <v>446</v>
      </c>
      <c r="KW13" s="430" t="s">
        <v>446</v>
      </c>
      <c r="KX13" s="430" t="s">
        <v>446</v>
      </c>
      <c r="KY13" s="430" t="s">
        <v>446</v>
      </c>
      <c r="KZ13" s="430" t="s">
        <v>446</v>
      </c>
      <c r="LA13" s="430" t="s">
        <v>446</v>
      </c>
      <c r="LB13" s="430" t="s">
        <v>446</v>
      </c>
      <c r="LC13" s="430" t="s">
        <v>446</v>
      </c>
      <c r="LD13" s="430" t="s">
        <v>446</v>
      </c>
      <c r="LE13" s="430" t="s">
        <v>446</v>
      </c>
      <c r="LF13" s="430" t="s">
        <v>446</v>
      </c>
      <c r="LG13" s="430" t="s">
        <v>446</v>
      </c>
      <c r="LH13" s="430" t="s">
        <v>446</v>
      </c>
      <c r="LI13" s="430" t="s">
        <v>446</v>
      </c>
      <c r="LJ13" s="430" t="s">
        <v>446</v>
      </c>
      <c r="LK13" s="430" t="s">
        <v>446</v>
      </c>
      <c r="LL13" s="430" t="s">
        <v>446</v>
      </c>
      <c r="LM13" s="430" t="s">
        <v>446</v>
      </c>
      <c r="LN13" s="430" t="s">
        <v>446</v>
      </c>
      <c r="LO13" s="430" t="s">
        <v>446</v>
      </c>
      <c r="LP13" s="430" t="s">
        <v>446</v>
      </c>
      <c r="LQ13" s="430" t="s">
        <v>446</v>
      </c>
      <c r="LR13" s="430" t="s">
        <v>446</v>
      </c>
      <c r="LS13" s="430" t="s">
        <v>446</v>
      </c>
      <c r="LT13" s="430" t="s">
        <v>446</v>
      </c>
      <c r="LU13" s="430" t="s">
        <v>446</v>
      </c>
      <c r="LV13" s="430" t="s">
        <v>446</v>
      </c>
      <c r="LW13" s="430" t="s">
        <v>446</v>
      </c>
      <c r="LX13" s="430" t="s">
        <v>446</v>
      </c>
      <c r="LY13" s="430" t="s">
        <v>446</v>
      </c>
      <c r="LZ13" s="430" t="s">
        <v>446</v>
      </c>
      <c r="MA13" s="430" t="s">
        <v>446</v>
      </c>
      <c r="MB13" s="430" t="s">
        <v>446</v>
      </c>
      <c r="MC13" s="430" t="s">
        <v>446</v>
      </c>
      <c r="MD13" s="430" t="s">
        <v>446</v>
      </c>
      <c r="ME13" s="430" t="s">
        <v>446</v>
      </c>
      <c r="MF13" s="430" t="s">
        <v>446</v>
      </c>
      <c r="MG13" s="430" t="s">
        <v>446</v>
      </c>
      <c r="MH13" s="430" t="s">
        <v>446</v>
      </c>
      <c r="MI13" s="430" t="s">
        <v>446</v>
      </c>
      <c r="MJ13" s="430" t="s">
        <v>446</v>
      </c>
      <c r="MK13" s="430" t="s">
        <v>446</v>
      </c>
      <c r="ML13" s="430" t="s">
        <v>446</v>
      </c>
      <c r="MM13" s="430" t="s">
        <v>446</v>
      </c>
      <c r="MN13" s="430" t="s">
        <v>446</v>
      </c>
      <c r="MO13" s="430" t="s">
        <v>446</v>
      </c>
      <c r="MP13" s="430" t="s">
        <v>446</v>
      </c>
      <c r="MQ13" s="430" t="s">
        <v>446</v>
      </c>
      <c r="MR13" s="430" t="s">
        <v>446</v>
      </c>
      <c r="MS13" s="430" t="s">
        <v>446</v>
      </c>
      <c r="MT13" s="430" t="s">
        <v>446</v>
      </c>
      <c r="MU13" s="430" t="s">
        <v>446</v>
      </c>
      <c r="MV13" s="430" t="s">
        <v>446</v>
      </c>
      <c r="MW13" s="430" t="s">
        <v>446</v>
      </c>
      <c r="MX13" s="430" t="s">
        <v>446</v>
      </c>
      <c r="MY13" s="430" t="s">
        <v>446</v>
      </c>
      <c r="MZ13" s="430" t="s">
        <v>446</v>
      </c>
      <c r="NA13" s="430" t="s">
        <v>446</v>
      </c>
      <c r="NB13" s="430" t="s">
        <v>446</v>
      </c>
      <c r="NC13" s="430" t="s">
        <v>446</v>
      </c>
      <c r="ND13" s="430" t="s">
        <v>446</v>
      </c>
      <c r="NE13" s="430" t="s">
        <v>446</v>
      </c>
      <c r="NF13" s="430" t="s">
        <v>446</v>
      </c>
      <c r="NG13" s="430" t="s">
        <v>446</v>
      </c>
      <c r="NH13" s="430" t="s">
        <v>446</v>
      </c>
      <c r="NI13" s="430" t="s">
        <v>446</v>
      </c>
      <c r="NJ13" s="430" t="s">
        <v>446</v>
      </c>
      <c r="NK13" s="430" t="s">
        <v>446</v>
      </c>
      <c r="NL13" s="430" t="s">
        <v>446</v>
      </c>
      <c r="NM13" s="430" t="s">
        <v>446</v>
      </c>
      <c r="NN13" s="430" t="s">
        <v>446</v>
      </c>
      <c r="NO13" s="430" t="s">
        <v>446</v>
      </c>
      <c r="NP13" s="430" t="s">
        <v>446</v>
      </c>
      <c r="NQ13" s="430" t="s">
        <v>446</v>
      </c>
      <c r="NR13" s="430" t="s">
        <v>446</v>
      </c>
      <c r="NS13" s="430" t="s">
        <v>446</v>
      </c>
      <c r="NT13" s="430" t="s">
        <v>446</v>
      </c>
      <c r="NU13" s="430" t="s">
        <v>446</v>
      </c>
      <c r="NV13" s="430" t="s">
        <v>446</v>
      </c>
      <c r="NW13" s="430" t="s">
        <v>446</v>
      </c>
      <c r="NX13" s="430" t="s">
        <v>446</v>
      </c>
      <c r="NY13" s="430" t="s">
        <v>446</v>
      </c>
      <c r="NZ13" s="430" t="s">
        <v>446</v>
      </c>
      <c r="OA13" s="430" t="s">
        <v>446</v>
      </c>
      <c r="OB13" s="430" t="s">
        <v>446</v>
      </c>
      <c r="OC13" s="430" t="s">
        <v>446</v>
      </c>
      <c r="OD13" s="430" t="s">
        <v>446</v>
      </c>
      <c r="OE13" s="430" t="s">
        <v>446</v>
      </c>
      <c r="OF13" s="430" t="s">
        <v>446</v>
      </c>
      <c r="OG13" s="430" t="s">
        <v>446</v>
      </c>
      <c r="OH13" s="430" t="s">
        <v>446</v>
      </c>
      <c r="OI13" s="430" t="s">
        <v>446</v>
      </c>
      <c r="OJ13" s="430" t="s">
        <v>446</v>
      </c>
      <c r="OK13" s="430" t="s">
        <v>446</v>
      </c>
      <c r="OL13" s="430" t="s">
        <v>446</v>
      </c>
      <c r="OM13" s="430" t="s">
        <v>446</v>
      </c>
      <c r="ON13" s="430" t="s">
        <v>446</v>
      </c>
      <c r="OO13" s="430" t="s">
        <v>446</v>
      </c>
      <c r="OP13" s="430" t="s">
        <v>446</v>
      </c>
      <c r="OQ13" s="430" t="s">
        <v>446</v>
      </c>
      <c r="OR13" s="430" t="s">
        <v>446</v>
      </c>
      <c r="OS13" s="430" t="s">
        <v>446</v>
      </c>
      <c r="OT13" s="430" t="s">
        <v>446</v>
      </c>
      <c r="OU13" s="430" t="s">
        <v>446</v>
      </c>
      <c r="OV13" s="430" t="s">
        <v>446</v>
      </c>
      <c r="OW13" s="430" t="s">
        <v>446</v>
      </c>
      <c r="OX13" s="430" t="s">
        <v>446</v>
      </c>
      <c r="OY13" s="430" t="s">
        <v>446</v>
      </c>
      <c r="OZ13" s="430" t="s">
        <v>446</v>
      </c>
      <c r="PA13" s="430" t="s">
        <v>446</v>
      </c>
      <c r="PB13" s="430" t="s">
        <v>446</v>
      </c>
      <c r="PC13" s="430" t="s">
        <v>446</v>
      </c>
      <c r="PD13" s="430" t="s">
        <v>446</v>
      </c>
      <c r="PE13" s="430" t="s">
        <v>446</v>
      </c>
      <c r="PF13" s="430" t="s">
        <v>446</v>
      </c>
      <c r="PG13" s="430" t="s">
        <v>446</v>
      </c>
      <c r="PH13" s="430" t="s">
        <v>446</v>
      </c>
      <c r="PI13" s="430" t="s">
        <v>446</v>
      </c>
      <c r="PJ13" s="430" t="s">
        <v>446</v>
      </c>
      <c r="PK13" s="430" t="s">
        <v>446</v>
      </c>
      <c r="PL13" s="430" t="s">
        <v>446</v>
      </c>
      <c r="PM13" s="430" t="s">
        <v>446</v>
      </c>
      <c r="PN13" s="430" t="s">
        <v>446</v>
      </c>
      <c r="PO13" s="430" t="s">
        <v>446</v>
      </c>
      <c r="PP13" s="430" t="s">
        <v>446</v>
      </c>
      <c r="PQ13" s="430" t="s">
        <v>446</v>
      </c>
      <c r="PR13" s="430" t="s">
        <v>446</v>
      </c>
      <c r="PS13" s="430" t="s">
        <v>446</v>
      </c>
      <c r="PT13" s="430" t="s">
        <v>446</v>
      </c>
      <c r="PU13" s="430" t="s">
        <v>446</v>
      </c>
      <c r="PV13" s="430" t="s">
        <v>446</v>
      </c>
      <c r="PW13" s="430" t="s">
        <v>446</v>
      </c>
      <c r="PX13" s="430" t="s">
        <v>446</v>
      </c>
      <c r="PY13" s="430" t="s">
        <v>446</v>
      </c>
      <c r="PZ13" s="430" t="s">
        <v>446</v>
      </c>
      <c r="QA13" s="430" t="s">
        <v>446</v>
      </c>
      <c r="QB13" s="430" t="s">
        <v>446</v>
      </c>
      <c r="QC13" s="430" t="s">
        <v>446</v>
      </c>
      <c r="QD13" s="430" t="s">
        <v>446</v>
      </c>
      <c r="QE13" s="430" t="s">
        <v>446</v>
      </c>
      <c r="QF13" s="430" t="s">
        <v>446</v>
      </c>
      <c r="QG13" s="430" t="s">
        <v>446</v>
      </c>
      <c r="QH13" s="430" t="s">
        <v>446</v>
      </c>
      <c r="QI13" s="430" t="s">
        <v>446</v>
      </c>
      <c r="QJ13" s="430" t="s">
        <v>446</v>
      </c>
      <c r="QK13" s="430" t="s">
        <v>446</v>
      </c>
      <c r="QL13" s="430" t="s">
        <v>446</v>
      </c>
      <c r="QM13" s="430" t="s">
        <v>446</v>
      </c>
      <c r="QN13" s="430" t="s">
        <v>446</v>
      </c>
      <c r="QO13" s="442" t="s">
        <v>446</v>
      </c>
    </row>
    <row r="14" spans="1:457" ht="30" customHeight="1" x14ac:dyDescent="0.25">
      <c r="A14" s="431" t="str">
        <f>Salas!A13</f>
        <v>34 - Sala de Música</v>
      </c>
      <c r="B14" s="429" t="s">
        <v>446</v>
      </c>
      <c r="C14" s="430" t="s">
        <v>446</v>
      </c>
      <c r="D14" s="430" t="s">
        <v>446</v>
      </c>
      <c r="E14" s="430" t="s">
        <v>446</v>
      </c>
      <c r="F14" s="430" t="s">
        <v>446</v>
      </c>
      <c r="G14" s="430" t="s">
        <v>446</v>
      </c>
      <c r="H14" s="430" t="s">
        <v>446</v>
      </c>
      <c r="I14" s="430" t="s">
        <v>446</v>
      </c>
      <c r="J14" s="430" t="s">
        <v>446</v>
      </c>
      <c r="K14" s="430" t="s">
        <v>446</v>
      </c>
      <c r="L14" s="430" t="s">
        <v>446</v>
      </c>
      <c r="M14" s="430" t="s">
        <v>446</v>
      </c>
      <c r="N14" s="430" t="s">
        <v>446</v>
      </c>
      <c r="O14" s="430" t="s">
        <v>446</v>
      </c>
      <c r="P14" s="430" t="s">
        <v>446</v>
      </c>
      <c r="Q14" s="430" t="s">
        <v>446</v>
      </c>
      <c r="R14" s="430" t="s">
        <v>446</v>
      </c>
      <c r="S14" s="430" t="s">
        <v>446</v>
      </c>
      <c r="T14" s="430" t="s">
        <v>446</v>
      </c>
      <c r="U14" s="430" t="s">
        <v>446</v>
      </c>
      <c r="V14" s="430" t="s">
        <v>446</v>
      </c>
      <c r="W14" s="430" t="s">
        <v>446</v>
      </c>
      <c r="X14" s="430" t="s">
        <v>446</v>
      </c>
      <c r="Y14" s="430" t="s">
        <v>446</v>
      </c>
      <c r="Z14" s="430" t="s">
        <v>446</v>
      </c>
      <c r="AA14" s="430" t="s">
        <v>446</v>
      </c>
      <c r="AB14" s="430" t="s">
        <v>446</v>
      </c>
      <c r="AC14" s="430" t="s">
        <v>446</v>
      </c>
      <c r="AD14" s="430" t="s">
        <v>446</v>
      </c>
      <c r="AE14" s="430" t="s">
        <v>446</v>
      </c>
      <c r="AF14" s="430" t="s">
        <v>446</v>
      </c>
      <c r="AG14" s="430" t="s">
        <v>446</v>
      </c>
      <c r="AH14" s="430" t="s">
        <v>446</v>
      </c>
      <c r="AI14" s="430" t="s">
        <v>446</v>
      </c>
      <c r="AJ14" s="430" t="s">
        <v>446</v>
      </c>
      <c r="AK14" s="430" t="s">
        <v>446</v>
      </c>
      <c r="AL14" s="430" t="s">
        <v>446</v>
      </c>
      <c r="AM14" s="430" t="s">
        <v>446</v>
      </c>
      <c r="AN14" s="430" t="s">
        <v>446</v>
      </c>
      <c r="AO14" s="430" t="s">
        <v>446</v>
      </c>
      <c r="AP14" s="430" t="s">
        <v>446</v>
      </c>
      <c r="AQ14" s="430" t="s">
        <v>446</v>
      </c>
      <c r="AR14" s="430" t="s">
        <v>446</v>
      </c>
      <c r="AS14" s="430" t="s">
        <v>446</v>
      </c>
      <c r="AT14" s="430" t="s">
        <v>446</v>
      </c>
      <c r="AU14" s="430" t="s">
        <v>446</v>
      </c>
      <c r="AV14" s="430" t="s">
        <v>446</v>
      </c>
      <c r="AW14" s="430" t="s">
        <v>446</v>
      </c>
      <c r="AX14" s="430" t="s">
        <v>446</v>
      </c>
      <c r="AY14" s="430" t="s">
        <v>446</v>
      </c>
      <c r="AZ14" s="430" t="s">
        <v>446</v>
      </c>
      <c r="BA14" s="430" t="s">
        <v>446</v>
      </c>
      <c r="BB14" s="430" t="s">
        <v>446</v>
      </c>
      <c r="BC14" s="430" t="s">
        <v>446</v>
      </c>
      <c r="BD14" s="430" t="s">
        <v>446</v>
      </c>
      <c r="BE14" s="430" t="s">
        <v>446</v>
      </c>
      <c r="BF14" s="430" t="s">
        <v>446</v>
      </c>
      <c r="BG14" s="430" t="s">
        <v>446</v>
      </c>
      <c r="BH14" s="430" t="s">
        <v>446</v>
      </c>
      <c r="BI14" s="430" t="s">
        <v>446</v>
      </c>
      <c r="BJ14" s="430" t="s">
        <v>446</v>
      </c>
      <c r="BK14" s="430" t="s">
        <v>446</v>
      </c>
      <c r="BL14" s="430" t="s">
        <v>446</v>
      </c>
      <c r="BM14" s="430" t="s">
        <v>446</v>
      </c>
      <c r="BN14" s="430" t="s">
        <v>446</v>
      </c>
      <c r="BO14" s="430" t="s">
        <v>446</v>
      </c>
      <c r="BP14" s="430" t="s">
        <v>446</v>
      </c>
      <c r="BQ14" s="430" t="s">
        <v>446</v>
      </c>
      <c r="BR14" s="430" t="s">
        <v>446</v>
      </c>
      <c r="BS14" s="430" t="s">
        <v>446</v>
      </c>
      <c r="BT14" s="430" t="s">
        <v>446</v>
      </c>
      <c r="BU14" s="430" t="s">
        <v>446</v>
      </c>
      <c r="BV14" s="430" t="s">
        <v>446</v>
      </c>
      <c r="BW14" s="430" t="s">
        <v>446</v>
      </c>
      <c r="BX14" s="430" t="s">
        <v>446</v>
      </c>
      <c r="BY14" s="430" t="s">
        <v>446</v>
      </c>
      <c r="BZ14" s="430" t="s">
        <v>446</v>
      </c>
      <c r="CA14" s="430" t="s">
        <v>446</v>
      </c>
      <c r="CB14" s="430" t="s">
        <v>446</v>
      </c>
      <c r="CC14" s="430" t="s">
        <v>446</v>
      </c>
      <c r="CD14" s="430" t="s">
        <v>446</v>
      </c>
      <c r="CE14" s="430" t="s">
        <v>446</v>
      </c>
      <c r="CF14" s="430" t="s">
        <v>446</v>
      </c>
      <c r="CG14" s="430" t="s">
        <v>446</v>
      </c>
      <c r="CH14" s="430" t="s">
        <v>446</v>
      </c>
      <c r="CI14" s="430" t="s">
        <v>446</v>
      </c>
      <c r="CJ14" s="430" t="s">
        <v>446</v>
      </c>
      <c r="CK14" s="430" t="s">
        <v>446</v>
      </c>
      <c r="CL14" s="430" t="s">
        <v>446</v>
      </c>
      <c r="CM14" s="430" t="s">
        <v>446</v>
      </c>
      <c r="CN14" s="430" t="s">
        <v>446</v>
      </c>
      <c r="CO14" s="430" t="s">
        <v>446</v>
      </c>
      <c r="CP14" s="430" t="s">
        <v>446</v>
      </c>
      <c r="CQ14" s="430" t="s">
        <v>446</v>
      </c>
      <c r="CR14" s="430" t="s">
        <v>446</v>
      </c>
      <c r="CS14" s="430" t="s">
        <v>446</v>
      </c>
      <c r="CT14" s="430" t="s">
        <v>446</v>
      </c>
      <c r="CU14" s="430" t="s">
        <v>446</v>
      </c>
      <c r="CV14" s="430" t="s">
        <v>446</v>
      </c>
      <c r="CW14" s="430" t="s">
        <v>446</v>
      </c>
      <c r="CX14" s="430" t="s">
        <v>446</v>
      </c>
      <c r="CY14" s="430" t="s">
        <v>446</v>
      </c>
      <c r="CZ14" s="430" t="s">
        <v>446</v>
      </c>
      <c r="DA14" s="430" t="s">
        <v>446</v>
      </c>
      <c r="DB14" s="430" t="s">
        <v>446</v>
      </c>
      <c r="DC14" s="430" t="s">
        <v>446</v>
      </c>
      <c r="DD14" s="430" t="s">
        <v>446</v>
      </c>
      <c r="DE14" s="430" t="s">
        <v>446</v>
      </c>
      <c r="DF14" s="430" t="s">
        <v>446</v>
      </c>
      <c r="DG14" s="430" t="s">
        <v>446</v>
      </c>
      <c r="DH14" s="430" t="s">
        <v>446</v>
      </c>
      <c r="DI14" s="430" t="s">
        <v>446</v>
      </c>
      <c r="DJ14" s="430" t="s">
        <v>446</v>
      </c>
      <c r="DK14" s="430" t="s">
        <v>446</v>
      </c>
      <c r="DL14" s="430" t="s">
        <v>446</v>
      </c>
      <c r="DM14" s="430" t="s">
        <v>446</v>
      </c>
      <c r="DN14" s="430" t="s">
        <v>446</v>
      </c>
      <c r="DO14" s="430" t="s">
        <v>446</v>
      </c>
      <c r="DP14" s="430" t="s">
        <v>446</v>
      </c>
      <c r="DQ14" s="430" t="s">
        <v>446</v>
      </c>
      <c r="DR14" s="430" t="s">
        <v>446</v>
      </c>
      <c r="DS14" s="430" t="s">
        <v>446</v>
      </c>
      <c r="DT14" s="430" t="s">
        <v>446</v>
      </c>
      <c r="DU14" s="430" t="s">
        <v>446</v>
      </c>
      <c r="DV14" s="430" t="s">
        <v>446</v>
      </c>
      <c r="DW14" s="430" t="s">
        <v>446</v>
      </c>
      <c r="DX14" s="430" t="s">
        <v>446</v>
      </c>
      <c r="DY14" s="430" t="s">
        <v>446</v>
      </c>
      <c r="DZ14" s="430" t="s">
        <v>446</v>
      </c>
      <c r="EA14" s="430" t="s">
        <v>446</v>
      </c>
      <c r="EB14" s="430" t="s">
        <v>446</v>
      </c>
      <c r="EC14" s="430" t="s">
        <v>446</v>
      </c>
      <c r="ED14" s="430" t="s">
        <v>446</v>
      </c>
      <c r="EE14" s="430" t="s">
        <v>446</v>
      </c>
      <c r="EF14" s="430" t="s">
        <v>446</v>
      </c>
      <c r="EG14" s="430" t="s">
        <v>446</v>
      </c>
      <c r="EH14" s="430" t="s">
        <v>446</v>
      </c>
      <c r="EI14" s="430" t="s">
        <v>446</v>
      </c>
      <c r="EJ14" s="430" t="s">
        <v>446</v>
      </c>
      <c r="EK14" s="430" t="s">
        <v>446</v>
      </c>
      <c r="EL14" s="430" t="s">
        <v>446</v>
      </c>
      <c r="EM14" s="430" t="s">
        <v>446</v>
      </c>
      <c r="EN14" s="430" t="s">
        <v>446</v>
      </c>
      <c r="EO14" s="430" t="s">
        <v>446</v>
      </c>
      <c r="EP14" s="430" t="s">
        <v>446</v>
      </c>
      <c r="EQ14" s="430" t="s">
        <v>446</v>
      </c>
      <c r="ER14" s="430" t="s">
        <v>446</v>
      </c>
      <c r="ES14" s="430" t="s">
        <v>446</v>
      </c>
      <c r="ET14" s="430" t="s">
        <v>446</v>
      </c>
      <c r="EU14" s="430" t="s">
        <v>446</v>
      </c>
      <c r="EV14" s="430" t="s">
        <v>446</v>
      </c>
      <c r="EW14" s="430" t="s">
        <v>446</v>
      </c>
      <c r="EX14" s="430" t="s">
        <v>446</v>
      </c>
      <c r="EY14" s="430" t="s">
        <v>446</v>
      </c>
      <c r="EZ14" s="430" t="s">
        <v>446</v>
      </c>
      <c r="FA14" s="430" t="s">
        <v>446</v>
      </c>
      <c r="FB14" s="430" t="s">
        <v>446</v>
      </c>
      <c r="FC14" s="430" t="s">
        <v>446</v>
      </c>
      <c r="FD14" s="430" t="s">
        <v>446</v>
      </c>
      <c r="FE14" s="430" t="s">
        <v>446</v>
      </c>
      <c r="FF14" s="430" t="s">
        <v>446</v>
      </c>
      <c r="FG14" s="430" t="s">
        <v>446</v>
      </c>
      <c r="FH14" s="430" t="s">
        <v>446</v>
      </c>
      <c r="FI14" s="430" t="s">
        <v>446</v>
      </c>
      <c r="FJ14" s="430" t="s">
        <v>446</v>
      </c>
      <c r="FK14" s="430" t="s">
        <v>446</v>
      </c>
      <c r="FL14" s="430" t="s">
        <v>446</v>
      </c>
      <c r="FM14" s="430" t="s">
        <v>446</v>
      </c>
      <c r="FN14" s="430" t="s">
        <v>446</v>
      </c>
      <c r="FO14" s="430" t="s">
        <v>446</v>
      </c>
      <c r="FP14" s="430" t="s">
        <v>446</v>
      </c>
      <c r="FQ14" s="430" t="s">
        <v>446</v>
      </c>
      <c r="FR14" s="430" t="s">
        <v>446</v>
      </c>
      <c r="FS14" s="430" t="s">
        <v>446</v>
      </c>
      <c r="FT14" s="430" t="s">
        <v>446</v>
      </c>
      <c r="FU14" s="430" t="s">
        <v>446</v>
      </c>
      <c r="FV14" s="430" t="s">
        <v>446</v>
      </c>
      <c r="FW14" s="430" t="s">
        <v>446</v>
      </c>
      <c r="FX14" s="430" t="s">
        <v>446</v>
      </c>
      <c r="FY14" s="430" t="s">
        <v>446</v>
      </c>
      <c r="FZ14" s="430" t="s">
        <v>446</v>
      </c>
      <c r="GA14" s="430" t="s">
        <v>446</v>
      </c>
      <c r="GB14" s="430" t="s">
        <v>446</v>
      </c>
      <c r="GC14" s="430" t="s">
        <v>446</v>
      </c>
      <c r="GD14" s="430" t="s">
        <v>446</v>
      </c>
      <c r="GE14" s="430" t="s">
        <v>446</v>
      </c>
      <c r="GF14" s="430" t="s">
        <v>446</v>
      </c>
      <c r="GG14" s="430" t="s">
        <v>446</v>
      </c>
      <c r="GH14" s="430" t="s">
        <v>446</v>
      </c>
      <c r="GI14" s="430" t="s">
        <v>446</v>
      </c>
      <c r="GJ14" s="430" t="s">
        <v>446</v>
      </c>
      <c r="GK14" s="430" t="s">
        <v>446</v>
      </c>
      <c r="GL14" s="430" t="s">
        <v>446</v>
      </c>
      <c r="GM14" s="430" t="s">
        <v>446</v>
      </c>
      <c r="GN14" s="430" t="s">
        <v>446</v>
      </c>
      <c r="GO14" s="430" t="s">
        <v>446</v>
      </c>
      <c r="GP14" s="430" t="s">
        <v>446</v>
      </c>
      <c r="GQ14" s="430" t="s">
        <v>446</v>
      </c>
      <c r="GR14" s="430" t="s">
        <v>446</v>
      </c>
      <c r="GS14" s="430" t="s">
        <v>446</v>
      </c>
      <c r="GT14" s="430" t="s">
        <v>446</v>
      </c>
      <c r="GU14" s="430" t="s">
        <v>446</v>
      </c>
      <c r="GV14" s="430" t="s">
        <v>446</v>
      </c>
      <c r="GW14" s="430" t="s">
        <v>446</v>
      </c>
      <c r="GX14" s="430" t="s">
        <v>446</v>
      </c>
      <c r="GY14" s="430" t="s">
        <v>446</v>
      </c>
      <c r="GZ14" s="430" t="s">
        <v>446</v>
      </c>
      <c r="HA14" s="430" t="s">
        <v>446</v>
      </c>
      <c r="HB14" s="430" t="s">
        <v>446</v>
      </c>
      <c r="HC14" s="430" t="s">
        <v>446</v>
      </c>
      <c r="HD14" s="430" t="s">
        <v>446</v>
      </c>
      <c r="HE14" s="430" t="s">
        <v>446</v>
      </c>
      <c r="HF14" s="430" t="s">
        <v>446</v>
      </c>
      <c r="HG14" s="430" t="s">
        <v>446</v>
      </c>
      <c r="HH14" s="430" t="s">
        <v>446</v>
      </c>
      <c r="HI14" s="430" t="s">
        <v>446</v>
      </c>
      <c r="HJ14" s="430" t="s">
        <v>446</v>
      </c>
      <c r="HK14" s="430" t="s">
        <v>446</v>
      </c>
      <c r="HL14" s="430" t="s">
        <v>446</v>
      </c>
      <c r="HM14" s="430" t="s">
        <v>446</v>
      </c>
      <c r="HN14" s="430" t="s">
        <v>446</v>
      </c>
      <c r="HO14" s="430" t="s">
        <v>446</v>
      </c>
      <c r="HP14" s="430" t="s">
        <v>446</v>
      </c>
      <c r="HQ14" s="430" t="s">
        <v>446</v>
      </c>
      <c r="HR14" s="430" t="s">
        <v>446</v>
      </c>
      <c r="HS14" s="430" t="s">
        <v>446</v>
      </c>
      <c r="HT14" s="430" t="s">
        <v>446</v>
      </c>
      <c r="HU14" s="430" t="s">
        <v>446</v>
      </c>
      <c r="HV14" s="430" t="s">
        <v>446</v>
      </c>
      <c r="HW14" s="430" t="s">
        <v>446</v>
      </c>
      <c r="HX14" s="430" t="s">
        <v>446</v>
      </c>
      <c r="HY14" s="430" t="s">
        <v>446</v>
      </c>
      <c r="HZ14" s="430" t="s">
        <v>446</v>
      </c>
      <c r="IA14" s="430" t="s">
        <v>446</v>
      </c>
      <c r="IB14" s="430" t="s">
        <v>446</v>
      </c>
      <c r="IC14" s="430" t="s">
        <v>446</v>
      </c>
      <c r="ID14" s="430" t="s">
        <v>446</v>
      </c>
      <c r="IE14" s="430" t="s">
        <v>446</v>
      </c>
      <c r="IF14" s="430" t="s">
        <v>446</v>
      </c>
      <c r="IG14" s="430" t="s">
        <v>446</v>
      </c>
      <c r="IH14" s="430" t="s">
        <v>446</v>
      </c>
      <c r="II14" s="430" t="s">
        <v>446</v>
      </c>
      <c r="IJ14" s="430" t="s">
        <v>446</v>
      </c>
      <c r="IK14" s="430" t="s">
        <v>446</v>
      </c>
      <c r="IL14" s="430" t="s">
        <v>446</v>
      </c>
      <c r="IM14" s="430" t="s">
        <v>446</v>
      </c>
      <c r="IN14" s="430" t="s">
        <v>446</v>
      </c>
      <c r="IO14" s="430" t="s">
        <v>446</v>
      </c>
      <c r="IP14" s="430" t="s">
        <v>446</v>
      </c>
      <c r="IQ14" s="430" t="s">
        <v>446</v>
      </c>
      <c r="IR14" s="430" t="s">
        <v>446</v>
      </c>
      <c r="IS14" s="430" t="s">
        <v>446</v>
      </c>
      <c r="IT14" s="430" t="s">
        <v>446</v>
      </c>
      <c r="IU14" s="430" t="s">
        <v>446</v>
      </c>
      <c r="IV14" s="430" t="s">
        <v>446</v>
      </c>
      <c r="IW14" s="430" t="s">
        <v>446</v>
      </c>
      <c r="IX14" s="430" t="s">
        <v>446</v>
      </c>
      <c r="IY14" s="430" t="s">
        <v>446</v>
      </c>
      <c r="IZ14" s="430" t="s">
        <v>446</v>
      </c>
      <c r="JA14" s="430" t="s">
        <v>446</v>
      </c>
      <c r="JB14" s="430" t="s">
        <v>446</v>
      </c>
      <c r="JC14" s="430" t="s">
        <v>446</v>
      </c>
      <c r="JD14" s="430" t="s">
        <v>446</v>
      </c>
      <c r="JE14" s="430" t="s">
        <v>446</v>
      </c>
      <c r="JF14" s="430" t="s">
        <v>446</v>
      </c>
      <c r="JG14" s="430" t="s">
        <v>446</v>
      </c>
      <c r="JH14" s="430" t="s">
        <v>446</v>
      </c>
      <c r="JI14" s="430" t="s">
        <v>446</v>
      </c>
      <c r="JJ14" s="430" t="s">
        <v>446</v>
      </c>
      <c r="JK14" s="430" t="s">
        <v>446</v>
      </c>
      <c r="JL14" s="430" t="s">
        <v>446</v>
      </c>
      <c r="JM14" s="430" t="s">
        <v>446</v>
      </c>
      <c r="JN14" s="430" t="s">
        <v>446</v>
      </c>
      <c r="JO14" s="430" t="s">
        <v>446</v>
      </c>
      <c r="JP14" s="430" t="s">
        <v>446</v>
      </c>
      <c r="JQ14" s="430" t="s">
        <v>446</v>
      </c>
      <c r="JR14" s="430" t="s">
        <v>446</v>
      </c>
      <c r="JS14" s="430" t="s">
        <v>446</v>
      </c>
      <c r="JT14" s="430" t="s">
        <v>446</v>
      </c>
      <c r="JU14" s="430" t="s">
        <v>446</v>
      </c>
      <c r="JV14" s="430" t="s">
        <v>446</v>
      </c>
      <c r="JW14" s="430" t="s">
        <v>446</v>
      </c>
      <c r="JX14" s="430" t="s">
        <v>446</v>
      </c>
      <c r="JY14" s="430" t="s">
        <v>446</v>
      </c>
      <c r="JZ14" s="430" t="s">
        <v>446</v>
      </c>
      <c r="KA14" s="430" t="s">
        <v>446</v>
      </c>
      <c r="KB14" s="430" t="s">
        <v>446</v>
      </c>
      <c r="KC14" s="430" t="s">
        <v>446</v>
      </c>
      <c r="KD14" s="430" t="s">
        <v>446</v>
      </c>
      <c r="KE14" s="430" t="s">
        <v>446</v>
      </c>
      <c r="KF14" s="430" t="s">
        <v>446</v>
      </c>
      <c r="KG14" s="430" t="s">
        <v>446</v>
      </c>
      <c r="KH14" s="430" t="s">
        <v>446</v>
      </c>
      <c r="KI14" s="430" t="s">
        <v>446</v>
      </c>
      <c r="KJ14" s="430" t="s">
        <v>446</v>
      </c>
      <c r="KK14" s="430" t="s">
        <v>446</v>
      </c>
      <c r="KL14" s="430" t="s">
        <v>446</v>
      </c>
      <c r="KM14" s="430" t="s">
        <v>446</v>
      </c>
      <c r="KN14" s="430" t="s">
        <v>446</v>
      </c>
      <c r="KO14" s="430" t="s">
        <v>446</v>
      </c>
      <c r="KP14" s="430" t="s">
        <v>446</v>
      </c>
      <c r="KQ14" s="430" t="s">
        <v>446</v>
      </c>
      <c r="KR14" s="430" t="s">
        <v>446</v>
      </c>
      <c r="KS14" s="430" t="s">
        <v>446</v>
      </c>
      <c r="KT14" s="430" t="s">
        <v>446</v>
      </c>
      <c r="KU14" s="430" t="s">
        <v>446</v>
      </c>
      <c r="KV14" s="430" t="s">
        <v>446</v>
      </c>
      <c r="KW14" s="430" t="s">
        <v>446</v>
      </c>
      <c r="KX14" s="430" t="s">
        <v>446</v>
      </c>
      <c r="KY14" s="430" t="s">
        <v>446</v>
      </c>
      <c r="KZ14" s="430" t="s">
        <v>446</v>
      </c>
      <c r="LA14" s="430" t="s">
        <v>446</v>
      </c>
      <c r="LB14" s="430" t="s">
        <v>446</v>
      </c>
      <c r="LC14" s="430" t="s">
        <v>446</v>
      </c>
      <c r="LD14" s="430" t="s">
        <v>446</v>
      </c>
      <c r="LE14" s="430" t="s">
        <v>446</v>
      </c>
      <c r="LF14" s="430" t="s">
        <v>446</v>
      </c>
      <c r="LG14" s="430" t="s">
        <v>446</v>
      </c>
      <c r="LH14" s="430" t="s">
        <v>446</v>
      </c>
      <c r="LI14" s="430" t="s">
        <v>446</v>
      </c>
      <c r="LJ14" s="430" t="s">
        <v>446</v>
      </c>
      <c r="LK14" s="430" t="s">
        <v>446</v>
      </c>
      <c r="LL14" s="430" t="s">
        <v>446</v>
      </c>
      <c r="LM14" s="430" t="s">
        <v>446</v>
      </c>
      <c r="LN14" s="430" t="s">
        <v>446</v>
      </c>
      <c r="LO14" s="430" t="s">
        <v>446</v>
      </c>
      <c r="LP14" s="430" t="s">
        <v>446</v>
      </c>
      <c r="LQ14" s="430" t="s">
        <v>446</v>
      </c>
      <c r="LR14" s="430" t="s">
        <v>446</v>
      </c>
      <c r="LS14" s="430" t="s">
        <v>446</v>
      </c>
      <c r="LT14" s="430" t="s">
        <v>446</v>
      </c>
      <c r="LU14" s="430" t="s">
        <v>446</v>
      </c>
      <c r="LV14" s="430" t="s">
        <v>446</v>
      </c>
      <c r="LW14" s="430" t="s">
        <v>446</v>
      </c>
      <c r="LX14" s="430" t="s">
        <v>446</v>
      </c>
      <c r="LY14" s="430" t="s">
        <v>446</v>
      </c>
      <c r="LZ14" s="430" t="s">
        <v>446</v>
      </c>
      <c r="MA14" s="430" t="s">
        <v>446</v>
      </c>
      <c r="MB14" s="430" t="s">
        <v>446</v>
      </c>
      <c r="MC14" s="430" t="s">
        <v>446</v>
      </c>
      <c r="MD14" s="430" t="s">
        <v>446</v>
      </c>
      <c r="ME14" s="430" t="s">
        <v>446</v>
      </c>
      <c r="MF14" s="430" t="s">
        <v>446</v>
      </c>
      <c r="MG14" s="430" t="s">
        <v>446</v>
      </c>
      <c r="MH14" s="430" t="s">
        <v>446</v>
      </c>
      <c r="MI14" s="430" t="s">
        <v>446</v>
      </c>
      <c r="MJ14" s="430" t="s">
        <v>446</v>
      </c>
      <c r="MK14" s="430" t="s">
        <v>446</v>
      </c>
      <c r="ML14" s="430" t="s">
        <v>446</v>
      </c>
      <c r="MM14" s="430" t="s">
        <v>446</v>
      </c>
      <c r="MN14" s="430" t="s">
        <v>446</v>
      </c>
      <c r="MO14" s="430" t="s">
        <v>446</v>
      </c>
      <c r="MP14" s="430" t="s">
        <v>446</v>
      </c>
      <c r="MQ14" s="430" t="s">
        <v>446</v>
      </c>
      <c r="MR14" s="430" t="s">
        <v>446</v>
      </c>
      <c r="MS14" s="430" t="s">
        <v>446</v>
      </c>
      <c r="MT14" s="430" t="s">
        <v>446</v>
      </c>
      <c r="MU14" s="430" t="s">
        <v>446</v>
      </c>
      <c r="MV14" s="430" t="s">
        <v>446</v>
      </c>
      <c r="MW14" s="430" t="s">
        <v>446</v>
      </c>
      <c r="MX14" s="430" t="s">
        <v>446</v>
      </c>
      <c r="MY14" s="430" t="s">
        <v>446</v>
      </c>
      <c r="MZ14" s="430" t="s">
        <v>446</v>
      </c>
      <c r="NA14" s="430" t="s">
        <v>446</v>
      </c>
      <c r="NB14" s="430" t="s">
        <v>446</v>
      </c>
      <c r="NC14" s="430" t="s">
        <v>446</v>
      </c>
      <c r="ND14" s="430" t="s">
        <v>446</v>
      </c>
      <c r="NE14" s="430" t="s">
        <v>446</v>
      </c>
      <c r="NF14" s="430" t="s">
        <v>446</v>
      </c>
      <c r="NG14" s="430" t="s">
        <v>446</v>
      </c>
      <c r="NH14" s="430" t="s">
        <v>446</v>
      </c>
      <c r="NI14" s="430" t="s">
        <v>446</v>
      </c>
      <c r="NJ14" s="430" t="s">
        <v>446</v>
      </c>
      <c r="NK14" s="430" t="s">
        <v>446</v>
      </c>
      <c r="NL14" s="430" t="s">
        <v>446</v>
      </c>
      <c r="NM14" s="430" t="s">
        <v>446</v>
      </c>
      <c r="NN14" s="430" t="s">
        <v>446</v>
      </c>
      <c r="NO14" s="430" t="s">
        <v>446</v>
      </c>
      <c r="NP14" s="430" t="s">
        <v>446</v>
      </c>
      <c r="NQ14" s="430" t="s">
        <v>446</v>
      </c>
      <c r="NR14" s="430" t="s">
        <v>446</v>
      </c>
      <c r="NS14" s="430" t="s">
        <v>446</v>
      </c>
      <c r="NT14" s="430" t="s">
        <v>446</v>
      </c>
      <c r="NU14" s="430" t="s">
        <v>446</v>
      </c>
      <c r="NV14" s="430" t="s">
        <v>446</v>
      </c>
      <c r="NW14" s="430" t="s">
        <v>446</v>
      </c>
      <c r="NX14" s="430" t="s">
        <v>446</v>
      </c>
      <c r="NY14" s="430" t="s">
        <v>446</v>
      </c>
      <c r="NZ14" s="430" t="s">
        <v>446</v>
      </c>
      <c r="OA14" s="430" t="s">
        <v>446</v>
      </c>
      <c r="OB14" s="430" t="s">
        <v>446</v>
      </c>
      <c r="OC14" s="430" t="s">
        <v>446</v>
      </c>
      <c r="OD14" s="430" t="s">
        <v>446</v>
      </c>
      <c r="OE14" s="430" t="s">
        <v>446</v>
      </c>
      <c r="OF14" s="430" t="s">
        <v>446</v>
      </c>
      <c r="OG14" s="430" t="s">
        <v>446</v>
      </c>
      <c r="OH14" s="430" t="s">
        <v>446</v>
      </c>
      <c r="OI14" s="430" t="s">
        <v>446</v>
      </c>
      <c r="OJ14" s="430" t="s">
        <v>446</v>
      </c>
      <c r="OK14" s="430" t="s">
        <v>446</v>
      </c>
      <c r="OL14" s="430" t="s">
        <v>446</v>
      </c>
      <c r="OM14" s="430" t="s">
        <v>446</v>
      </c>
      <c r="ON14" s="430" t="s">
        <v>446</v>
      </c>
      <c r="OO14" s="430" t="s">
        <v>446</v>
      </c>
      <c r="OP14" s="430" t="s">
        <v>446</v>
      </c>
      <c r="OQ14" s="430" t="s">
        <v>446</v>
      </c>
      <c r="OR14" s="430" t="s">
        <v>446</v>
      </c>
      <c r="OS14" s="430" t="s">
        <v>446</v>
      </c>
      <c r="OT14" s="430" t="s">
        <v>446</v>
      </c>
      <c r="OU14" s="430" t="s">
        <v>446</v>
      </c>
      <c r="OV14" s="430" t="s">
        <v>446</v>
      </c>
      <c r="OW14" s="430" t="s">
        <v>446</v>
      </c>
      <c r="OX14" s="430" t="s">
        <v>446</v>
      </c>
      <c r="OY14" s="430" t="s">
        <v>446</v>
      </c>
      <c r="OZ14" s="430" t="s">
        <v>446</v>
      </c>
      <c r="PA14" s="430" t="s">
        <v>446</v>
      </c>
      <c r="PB14" s="430" t="s">
        <v>446</v>
      </c>
      <c r="PC14" s="430" t="s">
        <v>446</v>
      </c>
      <c r="PD14" s="430" t="s">
        <v>446</v>
      </c>
      <c r="PE14" s="430" t="s">
        <v>446</v>
      </c>
      <c r="PF14" s="430" t="s">
        <v>446</v>
      </c>
      <c r="PG14" s="430" t="s">
        <v>446</v>
      </c>
      <c r="PH14" s="430" t="s">
        <v>446</v>
      </c>
      <c r="PI14" s="430" t="s">
        <v>446</v>
      </c>
      <c r="PJ14" s="430" t="s">
        <v>446</v>
      </c>
      <c r="PK14" s="430" t="s">
        <v>446</v>
      </c>
      <c r="PL14" s="430" t="s">
        <v>446</v>
      </c>
      <c r="PM14" s="430" t="s">
        <v>446</v>
      </c>
      <c r="PN14" s="430" t="s">
        <v>446</v>
      </c>
      <c r="PO14" s="430" t="s">
        <v>446</v>
      </c>
      <c r="PP14" s="430" t="s">
        <v>446</v>
      </c>
      <c r="PQ14" s="430" t="s">
        <v>446</v>
      </c>
      <c r="PR14" s="430" t="s">
        <v>446</v>
      </c>
      <c r="PS14" s="430" t="s">
        <v>446</v>
      </c>
      <c r="PT14" s="430" t="s">
        <v>446</v>
      </c>
      <c r="PU14" s="430" t="s">
        <v>446</v>
      </c>
      <c r="PV14" s="430" t="s">
        <v>446</v>
      </c>
      <c r="PW14" s="430" t="s">
        <v>446</v>
      </c>
      <c r="PX14" s="430" t="s">
        <v>446</v>
      </c>
      <c r="PY14" s="430" t="s">
        <v>446</v>
      </c>
      <c r="PZ14" s="430" t="s">
        <v>446</v>
      </c>
      <c r="QA14" s="430" t="s">
        <v>446</v>
      </c>
      <c r="QB14" s="430" t="s">
        <v>446</v>
      </c>
      <c r="QC14" s="430" t="s">
        <v>446</v>
      </c>
      <c r="QD14" s="430" t="s">
        <v>446</v>
      </c>
      <c r="QE14" s="430" t="s">
        <v>446</v>
      </c>
      <c r="QF14" s="430" t="s">
        <v>446</v>
      </c>
      <c r="QG14" s="430" t="s">
        <v>446</v>
      </c>
      <c r="QH14" s="430" t="s">
        <v>446</v>
      </c>
      <c r="QI14" s="430" t="s">
        <v>446</v>
      </c>
      <c r="QJ14" s="430" t="s">
        <v>446</v>
      </c>
      <c r="QK14" s="430" t="s">
        <v>446</v>
      </c>
      <c r="QL14" s="430" t="s">
        <v>446</v>
      </c>
      <c r="QM14" s="430" t="s">
        <v>446</v>
      </c>
      <c r="QN14" s="430" t="s">
        <v>446</v>
      </c>
      <c r="QO14" s="442" t="s">
        <v>446</v>
      </c>
    </row>
    <row r="15" spans="1:457" ht="30" customHeight="1" x14ac:dyDescent="0.25">
      <c r="A15" s="431" t="str">
        <f>Salas!A14</f>
        <v>35 - Material Esportivo</v>
      </c>
      <c r="B15" s="429" t="s">
        <v>446</v>
      </c>
      <c r="C15" s="430" t="s">
        <v>446</v>
      </c>
      <c r="D15" s="430" t="s">
        <v>446</v>
      </c>
      <c r="E15" s="430" t="s">
        <v>446</v>
      </c>
      <c r="F15" s="430" t="s">
        <v>446</v>
      </c>
      <c r="G15" s="430" t="s">
        <v>446</v>
      </c>
      <c r="H15" s="430" t="s">
        <v>446</v>
      </c>
      <c r="I15" s="430" t="s">
        <v>446</v>
      </c>
      <c r="J15" s="430" t="s">
        <v>446</v>
      </c>
      <c r="K15" s="430" t="s">
        <v>446</v>
      </c>
      <c r="L15" s="430" t="s">
        <v>446</v>
      </c>
      <c r="M15" s="430" t="s">
        <v>446</v>
      </c>
      <c r="N15" s="430" t="s">
        <v>446</v>
      </c>
      <c r="O15" s="430" t="s">
        <v>446</v>
      </c>
      <c r="P15" s="430" t="s">
        <v>446</v>
      </c>
      <c r="Q15" s="430" t="s">
        <v>446</v>
      </c>
      <c r="R15" s="430" t="s">
        <v>446</v>
      </c>
      <c r="S15" s="430" t="s">
        <v>446</v>
      </c>
      <c r="T15" s="430" t="s">
        <v>446</v>
      </c>
      <c r="U15" s="430" t="s">
        <v>446</v>
      </c>
      <c r="V15" s="430" t="s">
        <v>446</v>
      </c>
      <c r="W15" s="430" t="s">
        <v>446</v>
      </c>
      <c r="X15" s="430" t="s">
        <v>446</v>
      </c>
      <c r="Y15" s="430" t="s">
        <v>446</v>
      </c>
      <c r="Z15" s="430" t="s">
        <v>446</v>
      </c>
      <c r="AA15" s="430" t="s">
        <v>446</v>
      </c>
      <c r="AB15" s="430" t="s">
        <v>446</v>
      </c>
      <c r="AC15" s="430" t="s">
        <v>446</v>
      </c>
      <c r="AD15" s="430" t="s">
        <v>446</v>
      </c>
      <c r="AE15" s="430" t="s">
        <v>446</v>
      </c>
      <c r="AF15" s="430" t="s">
        <v>446</v>
      </c>
      <c r="AG15" s="430" t="s">
        <v>446</v>
      </c>
      <c r="AH15" s="430" t="s">
        <v>446</v>
      </c>
      <c r="AI15" s="430" t="s">
        <v>446</v>
      </c>
      <c r="AJ15" s="430" t="s">
        <v>446</v>
      </c>
      <c r="AK15" s="430" t="s">
        <v>446</v>
      </c>
      <c r="AL15" s="430" t="s">
        <v>446</v>
      </c>
      <c r="AM15" s="430" t="s">
        <v>446</v>
      </c>
      <c r="AN15" s="430" t="s">
        <v>446</v>
      </c>
      <c r="AO15" s="430" t="s">
        <v>446</v>
      </c>
      <c r="AP15" s="430" t="s">
        <v>446</v>
      </c>
      <c r="AQ15" s="430" t="s">
        <v>446</v>
      </c>
      <c r="AR15" s="430" t="s">
        <v>446</v>
      </c>
      <c r="AS15" s="430" t="s">
        <v>446</v>
      </c>
      <c r="AT15" s="430" t="s">
        <v>446</v>
      </c>
      <c r="AU15" s="430" t="s">
        <v>446</v>
      </c>
      <c r="AV15" s="430" t="s">
        <v>446</v>
      </c>
      <c r="AW15" s="430" t="s">
        <v>446</v>
      </c>
      <c r="AX15" s="430" t="s">
        <v>446</v>
      </c>
      <c r="AY15" s="430" t="s">
        <v>446</v>
      </c>
      <c r="AZ15" s="430" t="s">
        <v>446</v>
      </c>
      <c r="BA15" s="430" t="s">
        <v>446</v>
      </c>
      <c r="BB15" s="430" t="s">
        <v>446</v>
      </c>
      <c r="BC15" s="430" t="s">
        <v>446</v>
      </c>
      <c r="BD15" s="430" t="s">
        <v>446</v>
      </c>
      <c r="BE15" s="430" t="s">
        <v>446</v>
      </c>
      <c r="BF15" s="430" t="s">
        <v>446</v>
      </c>
      <c r="BG15" s="430" t="s">
        <v>446</v>
      </c>
      <c r="BH15" s="430" t="s">
        <v>446</v>
      </c>
      <c r="BI15" s="430" t="s">
        <v>446</v>
      </c>
      <c r="BJ15" s="430" t="s">
        <v>446</v>
      </c>
      <c r="BK15" s="430" t="s">
        <v>446</v>
      </c>
      <c r="BL15" s="430" t="s">
        <v>446</v>
      </c>
      <c r="BM15" s="430" t="s">
        <v>446</v>
      </c>
      <c r="BN15" s="430" t="s">
        <v>446</v>
      </c>
      <c r="BO15" s="430" t="s">
        <v>446</v>
      </c>
      <c r="BP15" s="430" t="s">
        <v>446</v>
      </c>
      <c r="BQ15" s="430" t="s">
        <v>446</v>
      </c>
      <c r="BR15" s="430" t="s">
        <v>446</v>
      </c>
      <c r="BS15" s="430" t="s">
        <v>446</v>
      </c>
      <c r="BT15" s="430" t="s">
        <v>446</v>
      </c>
      <c r="BU15" s="430" t="s">
        <v>446</v>
      </c>
      <c r="BV15" s="430" t="s">
        <v>446</v>
      </c>
      <c r="BW15" s="430" t="s">
        <v>446</v>
      </c>
      <c r="BX15" s="430" t="s">
        <v>446</v>
      </c>
      <c r="BY15" s="430" t="s">
        <v>446</v>
      </c>
      <c r="BZ15" s="430" t="s">
        <v>446</v>
      </c>
      <c r="CA15" s="430" t="s">
        <v>446</v>
      </c>
      <c r="CB15" s="430" t="s">
        <v>446</v>
      </c>
      <c r="CC15" s="430" t="s">
        <v>446</v>
      </c>
      <c r="CD15" s="430" t="s">
        <v>446</v>
      </c>
      <c r="CE15" s="430" t="s">
        <v>446</v>
      </c>
      <c r="CF15" s="430" t="s">
        <v>446</v>
      </c>
      <c r="CG15" s="430" t="s">
        <v>446</v>
      </c>
      <c r="CH15" s="430" t="s">
        <v>446</v>
      </c>
      <c r="CI15" s="430" t="s">
        <v>446</v>
      </c>
      <c r="CJ15" s="430" t="s">
        <v>446</v>
      </c>
      <c r="CK15" s="430" t="s">
        <v>446</v>
      </c>
      <c r="CL15" s="430" t="s">
        <v>446</v>
      </c>
      <c r="CM15" s="430" t="s">
        <v>446</v>
      </c>
      <c r="CN15" s="430" t="s">
        <v>446</v>
      </c>
      <c r="CO15" s="430" t="s">
        <v>446</v>
      </c>
      <c r="CP15" s="430" t="s">
        <v>446</v>
      </c>
      <c r="CQ15" s="430" t="s">
        <v>446</v>
      </c>
      <c r="CR15" s="430" t="s">
        <v>446</v>
      </c>
      <c r="CS15" s="430" t="s">
        <v>446</v>
      </c>
      <c r="CT15" s="430" t="s">
        <v>446</v>
      </c>
      <c r="CU15" s="430" t="s">
        <v>446</v>
      </c>
      <c r="CV15" s="430" t="s">
        <v>446</v>
      </c>
      <c r="CW15" s="430" t="s">
        <v>446</v>
      </c>
      <c r="CX15" s="430" t="s">
        <v>446</v>
      </c>
      <c r="CY15" s="430" t="s">
        <v>446</v>
      </c>
      <c r="CZ15" s="430" t="s">
        <v>446</v>
      </c>
      <c r="DA15" s="430" t="s">
        <v>446</v>
      </c>
      <c r="DB15" s="430" t="s">
        <v>446</v>
      </c>
      <c r="DC15" s="430" t="s">
        <v>446</v>
      </c>
      <c r="DD15" s="430" t="s">
        <v>446</v>
      </c>
      <c r="DE15" s="430" t="s">
        <v>446</v>
      </c>
      <c r="DF15" s="430" t="s">
        <v>446</v>
      </c>
      <c r="DG15" s="430" t="s">
        <v>446</v>
      </c>
      <c r="DH15" s="430" t="s">
        <v>446</v>
      </c>
      <c r="DI15" s="430" t="s">
        <v>446</v>
      </c>
      <c r="DJ15" s="430" t="s">
        <v>446</v>
      </c>
      <c r="DK15" s="430" t="s">
        <v>446</v>
      </c>
      <c r="DL15" s="430" t="s">
        <v>446</v>
      </c>
      <c r="DM15" s="430" t="s">
        <v>446</v>
      </c>
      <c r="DN15" s="430" t="s">
        <v>446</v>
      </c>
      <c r="DO15" s="430" t="s">
        <v>446</v>
      </c>
      <c r="DP15" s="430" t="s">
        <v>446</v>
      </c>
      <c r="DQ15" s="430" t="s">
        <v>446</v>
      </c>
      <c r="DR15" s="430" t="s">
        <v>446</v>
      </c>
      <c r="DS15" s="430" t="s">
        <v>446</v>
      </c>
      <c r="DT15" s="430" t="s">
        <v>446</v>
      </c>
      <c r="DU15" s="430" t="s">
        <v>446</v>
      </c>
      <c r="DV15" s="430" t="s">
        <v>446</v>
      </c>
      <c r="DW15" s="430" t="s">
        <v>446</v>
      </c>
      <c r="DX15" s="430" t="s">
        <v>446</v>
      </c>
      <c r="DY15" s="430" t="s">
        <v>446</v>
      </c>
      <c r="DZ15" s="430" t="s">
        <v>446</v>
      </c>
      <c r="EA15" s="430" t="s">
        <v>446</v>
      </c>
      <c r="EB15" s="430" t="s">
        <v>446</v>
      </c>
      <c r="EC15" s="430" t="s">
        <v>446</v>
      </c>
      <c r="ED15" s="430" t="s">
        <v>446</v>
      </c>
      <c r="EE15" s="430" t="s">
        <v>446</v>
      </c>
      <c r="EF15" s="430" t="s">
        <v>446</v>
      </c>
      <c r="EG15" s="430" t="s">
        <v>446</v>
      </c>
      <c r="EH15" s="430" t="s">
        <v>446</v>
      </c>
      <c r="EI15" s="430" t="s">
        <v>446</v>
      </c>
      <c r="EJ15" s="430" t="s">
        <v>446</v>
      </c>
      <c r="EK15" s="430" t="s">
        <v>446</v>
      </c>
      <c r="EL15" s="430" t="s">
        <v>446</v>
      </c>
      <c r="EM15" s="430" t="s">
        <v>446</v>
      </c>
      <c r="EN15" s="430" t="s">
        <v>446</v>
      </c>
      <c r="EO15" s="430" t="s">
        <v>446</v>
      </c>
      <c r="EP15" s="430" t="s">
        <v>446</v>
      </c>
      <c r="EQ15" s="430" t="s">
        <v>446</v>
      </c>
      <c r="ER15" s="430" t="s">
        <v>446</v>
      </c>
      <c r="ES15" s="430" t="s">
        <v>446</v>
      </c>
      <c r="ET15" s="430" t="s">
        <v>446</v>
      </c>
      <c r="EU15" s="430" t="s">
        <v>446</v>
      </c>
      <c r="EV15" s="430" t="s">
        <v>446</v>
      </c>
      <c r="EW15" s="430" t="s">
        <v>446</v>
      </c>
      <c r="EX15" s="430" t="s">
        <v>446</v>
      </c>
      <c r="EY15" s="430" t="s">
        <v>446</v>
      </c>
      <c r="EZ15" s="430" t="s">
        <v>446</v>
      </c>
      <c r="FA15" s="430" t="s">
        <v>446</v>
      </c>
      <c r="FB15" s="430" t="s">
        <v>446</v>
      </c>
      <c r="FC15" s="430" t="s">
        <v>446</v>
      </c>
      <c r="FD15" s="430" t="s">
        <v>446</v>
      </c>
      <c r="FE15" s="430" t="s">
        <v>446</v>
      </c>
      <c r="FF15" s="430" t="s">
        <v>446</v>
      </c>
      <c r="FG15" s="430" t="s">
        <v>446</v>
      </c>
      <c r="FH15" s="430" t="s">
        <v>446</v>
      </c>
      <c r="FI15" s="430" t="s">
        <v>446</v>
      </c>
      <c r="FJ15" s="430" t="s">
        <v>446</v>
      </c>
      <c r="FK15" s="430" t="s">
        <v>446</v>
      </c>
      <c r="FL15" s="430" t="s">
        <v>446</v>
      </c>
      <c r="FM15" s="430" t="s">
        <v>446</v>
      </c>
      <c r="FN15" s="430" t="s">
        <v>446</v>
      </c>
      <c r="FO15" s="430" t="s">
        <v>446</v>
      </c>
      <c r="FP15" s="430" t="s">
        <v>446</v>
      </c>
      <c r="FQ15" s="430" t="s">
        <v>446</v>
      </c>
      <c r="FR15" s="430" t="s">
        <v>446</v>
      </c>
      <c r="FS15" s="430" t="s">
        <v>446</v>
      </c>
      <c r="FT15" s="430" t="s">
        <v>446</v>
      </c>
      <c r="FU15" s="430" t="s">
        <v>446</v>
      </c>
      <c r="FV15" s="430" t="s">
        <v>446</v>
      </c>
      <c r="FW15" s="430" t="s">
        <v>446</v>
      </c>
      <c r="FX15" s="430" t="s">
        <v>446</v>
      </c>
      <c r="FY15" s="430" t="s">
        <v>446</v>
      </c>
      <c r="FZ15" s="430" t="s">
        <v>446</v>
      </c>
      <c r="GA15" s="430" t="s">
        <v>446</v>
      </c>
      <c r="GB15" s="430" t="s">
        <v>446</v>
      </c>
      <c r="GC15" s="430" t="s">
        <v>446</v>
      </c>
      <c r="GD15" s="430" t="s">
        <v>446</v>
      </c>
      <c r="GE15" s="430" t="s">
        <v>446</v>
      </c>
      <c r="GF15" s="430" t="s">
        <v>446</v>
      </c>
      <c r="GG15" s="430" t="s">
        <v>446</v>
      </c>
      <c r="GH15" s="430" t="s">
        <v>446</v>
      </c>
      <c r="GI15" s="430" t="s">
        <v>446</v>
      </c>
      <c r="GJ15" s="430" t="s">
        <v>446</v>
      </c>
      <c r="GK15" s="430" t="s">
        <v>446</v>
      </c>
      <c r="GL15" s="430" t="s">
        <v>446</v>
      </c>
      <c r="GM15" s="430" t="s">
        <v>446</v>
      </c>
      <c r="GN15" s="430" t="s">
        <v>446</v>
      </c>
      <c r="GO15" s="430" t="s">
        <v>446</v>
      </c>
      <c r="GP15" s="430" t="s">
        <v>446</v>
      </c>
      <c r="GQ15" s="430" t="s">
        <v>446</v>
      </c>
      <c r="GR15" s="430" t="s">
        <v>446</v>
      </c>
      <c r="GS15" s="430" t="s">
        <v>446</v>
      </c>
      <c r="GT15" s="430" t="s">
        <v>446</v>
      </c>
      <c r="GU15" s="430" t="s">
        <v>446</v>
      </c>
      <c r="GV15" s="430" t="s">
        <v>446</v>
      </c>
      <c r="GW15" s="430" t="s">
        <v>446</v>
      </c>
      <c r="GX15" s="430" t="s">
        <v>446</v>
      </c>
      <c r="GY15" s="430" t="s">
        <v>446</v>
      </c>
      <c r="GZ15" s="430" t="s">
        <v>446</v>
      </c>
      <c r="HA15" s="430" t="s">
        <v>446</v>
      </c>
      <c r="HB15" s="430" t="s">
        <v>446</v>
      </c>
      <c r="HC15" s="430" t="s">
        <v>446</v>
      </c>
      <c r="HD15" s="430" t="s">
        <v>446</v>
      </c>
      <c r="HE15" s="430" t="s">
        <v>446</v>
      </c>
      <c r="HF15" s="430" t="s">
        <v>446</v>
      </c>
      <c r="HG15" s="430" t="s">
        <v>446</v>
      </c>
      <c r="HH15" s="430" t="s">
        <v>446</v>
      </c>
      <c r="HI15" s="430" t="s">
        <v>446</v>
      </c>
      <c r="HJ15" s="430" t="s">
        <v>446</v>
      </c>
      <c r="HK15" s="430" t="s">
        <v>446</v>
      </c>
      <c r="HL15" s="430" t="s">
        <v>446</v>
      </c>
      <c r="HM15" s="430" t="s">
        <v>446</v>
      </c>
      <c r="HN15" s="430" t="s">
        <v>446</v>
      </c>
      <c r="HO15" s="430" t="s">
        <v>446</v>
      </c>
      <c r="HP15" s="430" t="s">
        <v>446</v>
      </c>
      <c r="HQ15" s="430" t="s">
        <v>446</v>
      </c>
      <c r="HR15" s="430" t="s">
        <v>446</v>
      </c>
      <c r="HS15" s="430" t="s">
        <v>446</v>
      </c>
      <c r="HT15" s="430" t="s">
        <v>446</v>
      </c>
      <c r="HU15" s="430" t="s">
        <v>446</v>
      </c>
      <c r="HV15" s="430" t="s">
        <v>446</v>
      </c>
      <c r="HW15" s="430" t="s">
        <v>446</v>
      </c>
      <c r="HX15" s="430" t="s">
        <v>446</v>
      </c>
      <c r="HY15" s="430" t="s">
        <v>446</v>
      </c>
      <c r="HZ15" s="430" t="s">
        <v>446</v>
      </c>
      <c r="IA15" s="430" t="s">
        <v>446</v>
      </c>
      <c r="IB15" s="430" t="s">
        <v>446</v>
      </c>
      <c r="IC15" s="430" t="s">
        <v>446</v>
      </c>
      <c r="ID15" s="430" t="s">
        <v>446</v>
      </c>
      <c r="IE15" s="430" t="s">
        <v>446</v>
      </c>
      <c r="IF15" s="430" t="s">
        <v>446</v>
      </c>
      <c r="IG15" s="430" t="s">
        <v>446</v>
      </c>
      <c r="IH15" s="430" t="s">
        <v>446</v>
      </c>
      <c r="II15" s="430" t="s">
        <v>446</v>
      </c>
      <c r="IJ15" s="430" t="s">
        <v>446</v>
      </c>
      <c r="IK15" s="430" t="s">
        <v>446</v>
      </c>
      <c r="IL15" s="430" t="s">
        <v>446</v>
      </c>
      <c r="IM15" s="430" t="s">
        <v>446</v>
      </c>
      <c r="IN15" s="430" t="s">
        <v>446</v>
      </c>
      <c r="IO15" s="430" t="s">
        <v>446</v>
      </c>
      <c r="IP15" s="430" t="s">
        <v>446</v>
      </c>
      <c r="IQ15" s="430" t="s">
        <v>446</v>
      </c>
      <c r="IR15" s="430" t="s">
        <v>446</v>
      </c>
      <c r="IS15" s="430" t="s">
        <v>446</v>
      </c>
      <c r="IT15" s="430" t="s">
        <v>446</v>
      </c>
      <c r="IU15" s="430" t="s">
        <v>446</v>
      </c>
      <c r="IV15" s="430" t="s">
        <v>446</v>
      </c>
      <c r="IW15" s="430" t="s">
        <v>446</v>
      </c>
      <c r="IX15" s="430" t="s">
        <v>446</v>
      </c>
      <c r="IY15" s="430" t="s">
        <v>446</v>
      </c>
      <c r="IZ15" s="430" t="s">
        <v>446</v>
      </c>
      <c r="JA15" s="430" t="s">
        <v>446</v>
      </c>
      <c r="JB15" s="430" t="s">
        <v>446</v>
      </c>
      <c r="JC15" s="430" t="s">
        <v>446</v>
      </c>
      <c r="JD15" s="430" t="s">
        <v>446</v>
      </c>
      <c r="JE15" s="430" t="s">
        <v>446</v>
      </c>
      <c r="JF15" s="430" t="s">
        <v>446</v>
      </c>
      <c r="JG15" s="430" t="s">
        <v>446</v>
      </c>
      <c r="JH15" s="430" t="s">
        <v>446</v>
      </c>
      <c r="JI15" s="430" t="s">
        <v>446</v>
      </c>
      <c r="JJ15" s="430" t="s">
        <v>446</v>
      </c>
      <c r="JK15" s="430" t="s">
        <v>446</v>
      </c>
      <c r="JL15" s="430" t="s">
        <v>446</v>
      </c>
      <c r="JM15" s="430" t="s">
        <v>446</v>
      </c>
      <c r="JN15" s="430" t="s">
        <v>446</v>
      </c>
      <c r="JO15" s="430" t="s">
        <v>446</v>
      </c>
      <c r="JP15" s="430" t="s">
        <v>446</v>
      </c>
      <c r="JQ15" s="430" t="s">
        <v>446</v>
      </c>
      <c r="JR15" s="430" t="s">
        <v>446</v>
      </c>
      <c r="JS15" s="430" t="s">
        <v>446</v>
      </c>
      <c r="JT15" s="430" t="s">
        <v>446</v>
      </c>
      <c r="JU15" s="430" t="s">
        <v>446</v>
      </c>
      <c r="JV15" s="430" t="s">
        <v>446</v>
      </c>
      <c r="JW15" s="430" t="s">
        <v>446</v>
      </c>
      <c r="JX15" s="430" t="s">
        <v>446</v>
      </c>
      <c r="JY15" s="430" t="s">
        <v>446</v>
      </c>
      <c r="JZ15" s="430" t="s">
        <v>446</v>
      </c>
      <c r="KA15" s="430" t="s">
        <v>446</v>
      </c>
      <c r="KB15" s="430" t="s">
        <v>446</v>
      </c>
      <c r="KC15" s="430" t="s">
        <v>446</v>
      </c>
      <c r="KD15" s="430" t="s">
        <v>446</v>
      </c>
      <c r="KE15" s="430" t="s">
        <v>446</v>
      </c>
      <c r="KF15" s="430" t="s">
        <v>446</v>
      </c>
      <c r="KG15" s="430" t="s">
        <v>446</v>
      </c>
      <c r="KH15" s="430" t="s">
        <v>446</v>
      </c>
      <c r="KI15" s="430" t="s">
        <v>446</v>
      </c>
      <c r="KJ15" s="430" t="s">
        <v>446</v>
      </c>
      <c r="KK15" s="430" t="s">
        <v>446</v>
      </c>
      <c r="KL15" s="430" t="s">
        <v>446</v>
      </c>
      <c r="KM15" s="430" t="s">
        <v>446</v>
      </c>
      <c r="KN15" s="430" t="s">
        <v>446</v>
      </c>
      <c r="KO15" s="430" t="s">
        <v>446</v>
      </c>
      <c r="KP15" s="430" t="s">
        <v>446</v>
      </c>
      <c r="KQ15" s="430" t="s">
        <v>446</v>
      </c>
      <c r="KR15" s="430" t="s">
        <v>446</v>
      </c>
      <c r="KS15" s="430" t="s">
        <v>446</v>
      </c>
      <c r="KT15" s="430" t="s">
        <v>446</v>
      </c>
      <c r="KU15" s="430" t="s">
        <v>446</v>
      </c>
      <c r="KV15" s="430" t="s">
        <v>446</v>
      </c>
      <c r="KW15" s="430" t="s">
        <v>446</v>
      </c>
      <c r="KX15" s="430" t="s">
        <v>446</v>
      </c>
      <c r="KY15" s="430" t="s">
        <v>446</v>
      </c>
      <c r="KZ15" s="430" t="s">
        <v>446</v>
      </c>
      <c r="LA15" s="430" t="s">
        <v>446</v>
      </c>
      <c r="LB15" s="430" t="s">
        <v>446</v>
      </c>
      <c r="LC15" s="430" t="s">
        <v>446</v>
      </c>
      <c r="LD15" s="430" t="s">
        <v>446</v>
      </c>
      <c r="LE15" s="430" t="s">
        <v>446</v>
      </c>
      <c r="LF15" s="430" t="s">
        <v>446</v>
      </c>
      <c r="LG15" s="430" t="s">
        <v>446</v>
      </c>
      <c r="LH15" s="430" t="s">
        <v>446</v>
      </c>
      <c r="LI15" s="430" t="s">
        <v>446</v>
      </c>
      <c r="LJ15" s="430" t="s">
        <v>446</v>
      </c>
      <c r="LK15" s="430" t="s">
        <v>446</v>
      </c>
      <c r="LL15" s="430" t="s">
        <v>446</v>
      </c>
      <c r="LM15" s="430" t="s">
        <v>446</v>
      </c>
      <c r="LN15" s="430" t="s">
        <v>446</v>
      </c>
      <c r="LO15" s="430" t="s">
        <v>446</v>
      </c>
      <c r="LP15" s="430" t="s">
        <v>446</v>
      </c>
      <c r="LQ15" s="430" t="s">
        <v>446</v>
      </c>
      <c r="LR15" s="430" t="s">
        <v>446</v>
      </c>
      <c r="LS15" s="430" t="s">
        <v>446</v>
      </c>
      <c r="LT15" s="430" t="s">
        <v>446</v>
      </c>
      <c r="LU15" s="430" t="s">
        <v>446</v>
      </c>
      <c r="LV15" s="430" t="s">
        <v>446</v>
      </c>
      <c r="LW15" s="430" t="s">
        <v>446</v>
      </c>
      <c r="LX15" s="430" t="s">
        <v>446</v>
      </c>
      <c r="LY15" s="430" t="s">
        <v>446</v>
      </c>
      <c r="LZ15" s="430" t="s">
        <v>446</v>
      </c>
      <c r="MA15" s="430" t="s">
        <v>446</v>
      </c>
      <c r="MB15" s="430" t="s">
        <v>446</v>
      </c>
      <c r="MC15" s="430" t="s">
        <v>446</v>
      </c>
      <c r="MD15" s="430" t="s">
        <v>446</v>
      </c>
      <c r="ME15" s="430" t="s">
        <v>446</v>
      </c>
      <c r="MF15" s="430" t="s">
        <v>446</v>
      </c>
      <c r="MG15" s="430" t="s">
        <v>446</v>
      </c>
      <c r="MH15" s="430" t="s">
        <v>446</v>
      </c>
      <c r="MI15" s="430" t="s">
        <v>446</v>
      </c>
      <c r="MJ15" s="430" t="s">
        <v>446</v>
      </c>
      <c r="MK15" s="430" t="s">
        <v>446</v>
      </c>
      <c r="ML15" s="430" t="s">
        <v>446</v>
      </c>
      <c r="MM15" s="430" t="s">
        <v>446</v>
      </c>
      <c r="MN15" s="430" t="s">
        <v>446</v>
      </c>
      <c r="MO15" s="430" t="s">
        <v>446</v>
      </c>
      <c r="MP15" s="430" t="s">
        <v>446</v>
      </c>
      <c r="MQ15" s="430" t="s">
        <v>446</v>
      </c>
      <c r="MR15" s="430" t="s">
        <v>446</v>
      </c>
      <c r="MS15" s="430" t="s">
        <v>446</v>
      </c>
      <c r="MT15" s="430" t="s">
        <v>446</v>
      </c>
      <c r="MU15" s="430" t="s">
        <v>446</v>
      </c>
      <c r="MV15" s="430" t="s">
        <v>446</v>
      </c>
      <c r="MW15" s="430" t="s">
        <v>446</v>
      </c>
      <c r="MX15" s="430" t="s">
        <v>446</v>
      </c>
      <c r="MY15" s="430" t="s">
        <v>446</v>
      </c>
      <c r="MZ15" s="430" t="s">
        <v>446</v>
      </c>
      <c r="NA15" s="430" t="s">
        <v>446</v>
      </c>
      <c r="NB15" s="430" t="s">
        <v>446</v>
      </c>
      <c r="NC15" s="430" t="s">
        <v>446</v>
      </c>
      <c r="ND15" s="430" t="s">
        <v>446</v>
      </c>
      <c r="NE15" s="430" t="s">
        <v>446</v>
      </c>
      <c r="NF15" s="430" t="s">
        <v>446</v>
      </c>
      <c r="NG15" s="430" t="s">
        <v>446</v>
      </c>
      <c r="NH15" s="430" t="s">
        <v>446</v>
      </c>
      <c r="NI15" s="430" t="s">
        <v>446</v>
      </c>
      <c r="NJ15" s="430" t="s">
        <v>446</v>
      </c>
      <c r="NK15" s="430" t="s">
        <v>446</v>
      </c>
      <c r="NL15" s="430" t="s">
        <v>446</v>
      </c>
      <c r="NM15" s="430" t="s">
        <v>446</v>
      </c>
      <c r="NN15" s="430" t="s">
        <v>446</v>
      </c>
      <c r="NO15" s="430" t="s">
        <v>446</v>
      </c>
      <c r="NP15" s="430" t="s">
        <v>446</v>
      </c>
      <c r="NQ15" s="430" t="s">
        <v>446</v>
      </c>
      <c r="NR15" s="430" t="s">
        <v>446</v>
      </c>
      <c r="NS15" s="430" t="s">
        <v>446</v>
      </c>
      <c r="NT15" s="430" t="s">
        <v>446</v>
      </c>
      <c r="NU15" s="430" t="s">
        <v>446</v>
      </c>
      <c r="NV15" s="430" t="s">
        <v>446</v>
      </c>
      <c r="NW15" s="430" t="s">
        <v>446</v>
      </c>
      <c r="NX15" s="430" t="s">
        <v>446</v>
      </c>
      <c r="NY15" s="430" t="s">
        <v>446</v>
      </c>
      <c r="NZ15" s="430" t="s">
        <v>446</v>
      </c>
      <c r="OA15" s="430" t="s">
        <v>446</v>
      </c>
      <c r="OB15" s="430" t="s">
        <v>446</v>
      </c>
      <c r="OC15" s="430" t="s">
        <v>446</v>
      </c>
      <c r="OD15" s="430" t="s">
        <v>446</v>
      </c>
      <c r="OE15" s="430" t="s">
        <v>446</v>
      </c>
      <c r="OF15" s="430" t="s">
        <v>446</v>
      </c>
      <c r="OG15" s="430" t="s">
        <v>446</v>
      </c>
      <c r="OH15" s="430" t="s">
        <v>446</v>
      </c>
      <c r="OI15" s="430" t="s">
        <v>446</v>
      </c>
      <c r="OJ15" s="430" t="s">
        <v>446</v>
      </c>
      <c r="OK15" s="430" t="s">
        <v>446</v>
      </c>
      <c r="OL15" s="430" t="s">
        <v>446</v>
      </c>
      <c r="OM15" s="430" t="s">
        <v>446</v>
      </c>
      <c r="ON15" s="430" t="s">
        <v>446</v>
      </c>
      <c r="OO15" s="430" t="s">
        <v>446</v>
      </c>
      <c r="OP15" s="430" t="s">
        <v>446</v>
      </c>
      <c r="OQ15" s="430" t="s">
        <v>446</v>
      </c>
      <c r="OR15" s="430" t="s">
        <v>446</v>
      </c>
      <c r="OS15" s="430" t="s">
        <v>446</v>
      </c>
      <c r="OT15" s="430" t="s">
        <v>446</v>
      </c>
      <c r="OU15" s="430" t="s">
        <v>446</v>
      </c>
      <c r="OV15" s="430" t="s">
        <v>446</v>
      </c>
      <c r="OW15" s="430" t="s">
        <v>446</v>
      </c>
      <c r="OX15" s="430" t="s">
        <v>446</v>
      </c>
      <c r="OY15" s="430" t="s">
        <v>446</v>
      </c>
      <c r="OZ15" s="430" t="s">
        <v>446</v>
      </c>
      <c r="PA15" s="430" t="s">
        <v>446</v>
      </c>
      <c r="PB15" s="430" t="s">
        <v>446</v>
      </c>
      <c r="PC15" s="430" t="s">
        <v>446</v>
      </c>
      <c r="PD15" s="430" t="s">
        <v>446</v>
      </c>
      <c r="PE15" s="430" t="s">
        <v>446</v>
      </c>
      <c r="PF15" s="430" t="s">
        <v>446</v>
      </c>
      <c r="PG15" s="430" t="s">
        <v>446</v>
      </c>
      <c r="PH15" s="430" t="s">
        <v>446</v>
      </c>
      <c r="PI15" s="430" t="s">
        <v>446</v>
      </c>
      <c r="PJ15" s="430" t="s">
        <v>446</v>
      </c>
      <c r="PK15" s="430" t="s">
        <v>446</v>
      </c>
      <c r="PL15" s="430" t="s">
        <v>446</v>
      </c>
      <c r="PM15" s="430" t="s">
        <v>446</v>
      </c>
      <c r="PN15" s="430" t="s">
        <v>446</v>
      </c>
      <c r="PO15" s="430" t="s">
        <v>446</v>
      </c>
      <c r="PP15" s="430" t="s">
        <v>446</v>
      </c>
      <c r="PQ15" s="430" t="s">
        <v>446</v>
      </c>
      <c r="PR15" s="430" t="s">
        <v>446</v>
      </c>
      <c r="PS15" s="430" t="s">
        <v>446</v>
      </c>
      <c r="PT15" s="430" t="s">
        <v>446</v>
      </c>
      <c r="PU15" s="430" t="s">
        <v>446</v>
      </c>
      <c r="PV15" s="430" t="s">
        <v>446</v>
      </c>
      <c r="PW15" s="430" t="s">
        <v>446</v>
      </c>
      <c r="PX15" s="430" t="s">
        <v>446</v>
      </c>
      <c r="PY15" s="430" t="s">
        <v>446</v>
      </c>
      <c r="PZ15" s="430" t="s">
        <v>446</v>
      </c>
      <c r="QA15" s="430" t="s">
        <v>446</v>
      </c>
      <c r="QB15" s="430" t="s">
        <v>446</v>
      </c>
      <c r="QC15" s="430" t="s">
        <v>446</v>
      </c>
      <c r="QD15" s="430" t="s">
        <v>446</v>
      </c>
      <c r="QE15" s="430" t="s">
        <v>446</v>
      </c>
      <c r="QF15" s="430" t="s">
        <v>446</v>
      </c>
      <c r="QG15" s="430" t="s">
        <v>446</v>
      </c>
      <c r="QH15" s="430" t="s">
        <v>446</v>
      </c>
      <c r="QI15" s="430" t="s">
        <v>446</v>
      </c>
      <c r="QJ15" s="430" t="s">
        <v>446</v>
      </c>
      <c r="QK15" s="430" t="s">
        <v>446</v>
      </c>
      <c r="QL15" s="430" t="s">
        <v>446</v>
      </c>
      <c r="QM15" s="430" t="s">
        <v>446</v>
      </c>
      <c r="QN15" s="430" t="s">
        <v>446</v>
      </c>
      <c r="QO15" s="442" t="s">
        <v>446</v>
      </c>
    </row>
    <row r="16" spans="1:457" ht="30" customHeight="1" x14ac:dyDescent="0.25">
      <c r="A16" s="431" t="str">
        <f>Salas!A15</f>
        <v>36 - Sala de Estética</v>
      </c>
      <c r="B16" s="429" t="s">
        <v>446</v>
      </c>
      <c r="C16" s="430" t="s">
        <v>446</v>
      </c>
      <c r="D16" s="430" t="s">
        <v>446</v>
      </c>
      <c r="E16" s="430" t="s">
        <v>446</v>
      </c>
      <c r="F16" s="430" t="s">
        <v>446</v>
      </c>
      <c r="G16" s="430" t="s">
        <v>446</v>
      </c>
      <c r="H16" s="430" t="s">
        <v>446</v>
      </c>
      <c r="I16" s="430" t="s">
        <v>446</v>
      </c>
      <c r="J16" s="430" t="s">
        <v>446</v>
      </c>
      <c r="K16" s="430" t="s">
        <v>446</v>
      </c>
      <c r="L16" s="430" t="s">
        <v>446</v>
      </c>
      <c r="M16" s="430" t="s">
        <v>446</v>
      </c>
      <c r="N16" s="430" t="s">
        <v>446</v>
      </c>
      <c r="O16" s="430" t="s">
        <v>446</v>
      </c>
      <c r="P16" s="430" t="s">
        <v>446</v>
      </c>
      <c r="Q16" s="430" t="s">
        <v>446</v>
      </c>
      <c r="R16" s="430" t="s">
        <v>446</v>
      </c>
      <c r="S16" s="430" t="s">
        <v>446</v>
      </c>
      <c r="T16" s="430" t="s">
        <v>446</v>
      </c>
      <c r="U16" s="430" t="s">
        <v>446</v>
      </c>
      <c r="V16" s="430" t="s">
        <v>446</v>
      </c>
      <c r="W16" s="430" t="s">
        <v>446</v>
      </c>
      <c r="X16" s="430" t="s">
        <v>446</v>
      </c>
      <c r="Y16" s="430" t="s">
        <v>446</v>
      </c>
      <c r="Z16" s="430" t="s">
        <v>446</v>
      </c>
      <c r="AA16" s="430" t="s">
        <v>446</v>
      </c>
      <c r="AB16" s="430" t="s">
        <v>446</v>
      </c>
      <c r="AC16" s="430" t="s">
        <v>446</v>
      </c>
      <c r="AD16" s="430" t="s">
        <v>446</v>
      </c>
      <c r="AE16" s="430" t="s">
        <v>446</v>
      </c>
      <c r="AF16" s="430" t="s">
        <v>446</v>
      </c>
      <c r="AG16" s="430" t="s">
        <v>446</v>
      </c>
      <c r="AH16" s="430" t="s">
        <v>446</v>
      </c>
      <c r="AI16" s="430" t="s">
        <v>446</v>
      </c>
      <c r="AJ16" s="430" t="s">
        <v>446</v>
      </c>
      <c r="AK16" s="430" t="s">
        <v>446</v>
      </c>
      <c r="AL16" s="430" t="s">
        <v>446</v>
      </c>
      <c r="AM16" s="430" t="s">
        <v>446</v>
      </c>
      <c r="AN16" s="430" t="s">
        <v>446</v>
      </c>
      <c r="AO16" s="430" t="s">
        <v>446</v>
      </c>
      <c r="AP16" s="430" t="s">
        <v>446</v>
      </c>
      <c r="AQ16" s="430" t="s">
        <v>446</v>
      </c>
      <c r="AR16" s="430" t="s">
        <v>446</v>
      </c>
      <c r="AS16" s="430" t="s">
        <v>446</v>
      </c>
      <c r="AT16" s="430" t="s">
        <v>446</v>
      </c>
      <c r="AU16" s="430" t="s">
        <v>446</v>
      </c>
      <c r="AV16" s="430" t="s">
        <v>446</v>
      </c>
      <c r="AW16" s="430" t="s">
        <v>446</v>
      </c>
      <c r="AX16" s="430" t="s">
        <v>446</v>
      </c>
      <c r="AY16" s="430" t="s">
        <v>446</v>
      </c>
      <c r="AZ16" s="430" t="s">
        <v>446</v>
      </c>
      <c r="BA16" s="430" t="s">
        <v>446</v>
      </c>
      <c r="BB16" s="430" t="s">
        <v>446</v>
      </c>
      <c r="BC16" s="430" t="s">
        <v>446</v>
      </c>
      <c r="BD16" s="430" t="s">
        <v>446</v>
      </c>
      <c r="BE16" s="430" t="s">
        <v>446</v>
      </c>
      <c r="BF16" s="430" t="s">
        <v>446</v>
      </c>
      <c r="BG16" s="430" t="s">
        <v>446</v>
      </c>
      <c r="BH16" s="430" t="s">
        <v>446</v>
      </c>
      <c r="BI16" s="430" t="s">
        <v>446</v>
      </c>
      <c r="BJ16" s="430" t="s">
        <v>446</v>
      </c>
      <c r="BK16" s="430" t="s">
        <v>446</v>
      </c>
      <c r="BL16" s="430" t="s">
        <v>446</v>
      </c>
      <c r="BM16" s="430" t="s">
        <v>446</v>
      </c>
      <c r="BN16" s="430" t="s">
        <v>446</v>
      </c>
      <c r="BO16" s="430" t="s">
        <v>446</v>
      </c>
      <c r="BP16" s="430" t="s">
        <v>446</v>
      </c>
      <c r="BQ16" s="430" t="s">
        <v>446</v>
      </c>
      <c r="BR16" s="430" t="s">
        <v>446</v>
      </c>
      <c r="BS16" s="430" t="s">
        <v>446</v>
      </c>
      <c r="BT16" s="430" t="s">
        <v>446</v>
      </c>
      <c r="BU16" s="430" t="s">
        <v>446</v>
      </c>
      <c r="BV16" s="430" t="s">
        <v>446</v>
      </c>
      <c r="BW16" s="430" t="s">
        <v>446</v>
      </c>
      <c r="BX16" s="430" t="s">
        <v>446</v>
      </c>
      <c r="BY16" s="430" t="s">
        <v>446</v>
      </c>
      <c r="BZ16" s="430" t="s">
        <v>446</v>
      </c>
      <c r="CA16" s="430" t="s">
        <v>446</v>
      </c>
      <c r="CB16" s="430" t="s">
        <v>446</v>
      </c>
      <c r="CC16" s="430" t="s">
        <v>446</v>
      </c>
      <c r="CD16" s="430" t="s">
        <v>446</v>
      </c>
      <c r="CE16" s="430" t="s">
        <v>446</v>
      </c>
      <c r="CF16" s="430" t="s">
        <v>446</v>
      </c>
      <c r="CG16" s="430" t="s">
        <v>446</v>
      </c>
      <c r="CH16" s="430" t="s">
        <v>446</v>
      </c>
      <c r="CI16" s="430" t="s">
        <v>446</v>
      </c>
      <c r="CJ16" s="430" t="s">
        <v>446</v>
      </c>
      <c r="CK16" s="430" t="s">
        <v>446</v>
      </c>
      <c r="CL16" s="430" t="s">
        <v>446</v>
      </c>
      <c r="CM16" s="430" t="s">
        <v>446</v>
      </c>
      <c r="CN16" s="430" t="s">
        <v>446</v>
      </c>
      <c r="CO16" s="430" t="s">
        <v>446</v>
      </c>
      <c r="CP16" s="430" t="s">
        <v>446</v>
      </c>
      <c r="CQ16" s="430" t="s">
        <v>446</v>
      </c>
      <c r="CR16" s="430" t="s">
        <v>446</v>
      </c>
      <c r="CS16" s="430" t="s">
        <v>446</v>
      </c>
      <c r="CT16" s="430" t="s">
        <v>446</v>
      </c>
      <c r="CU16" s="430" t="s">
        <v>446</v>
      </c>
      <c r="CV16" s="430" t="s">
        <v>446</v>
      </c>
      <c r="CW16" s="430" t="s">
        <v>446</v>
      </c>
      <c r="CX16" s="430" t="s">
        <v>446</v>
      </c>
      <c r="CY16" s="430" t="s">
        <v>446</v>
      </c>
      <c r="CZ16" s="430" t="s">
        <v>446</v>
      </c>
      <c r="DA16" s="430" t="s">
        <v>446</v>
      </c>
      <c r="DB16" s="430" t="s">
        <v>446</v>
      </c>
      <c r="DC16" s="430" t="s">
        <v>446</v>
      </c>
      <c r="DD16" s="430" t="s">
        <v>446</v>
      </c>
      <c r="DE16" s="430" t="s">
        <v>446</v>
      </c>
      <c r="DF16" s="430" t="s">
        <v>446</v>
      </c>
      <c r="DG16" s="430" t="s">
        <v>446</v>
      </c>
      <c r="DH16" s="430" t="s">
        <v>446</v>
      </c>
      <c r="DI16" s="430" t="s">
        <v>446</v>
      </c>
      <c r="DJ16" s="430" t="s">
        <v>446</v>
      </c>
      <c r="DK16" s="430" t="s">
        <v>446</v>
      </c>
      <c r="DL16" s="430" t="s">
        <v>446</v>
      </c>
      <c r="DM16" s="430" t="s">
        <v>446</v>
      </c>
      <c r="DN16" s="430" t="s">
        <v>446</v>
      </c>
      <c r="DO16" s="430" t="s">
        <v>446</v>
      </c>
      <c r="DP16" s="430" t="s">
        <v>446</v>
      </c>
      <c r="DQ16" s="430" t="s">
        <v>446</v>
      </c>
      <c r="DR16" s="430" t="s">
        <v>446</v>
      </c>
      <c r="DS16" s="430" t="s">
        <v>446</v>
      </c>
      <c r="DT16" s="430" t="s">
        <v>446</v>
      </c>
      <c r="DU16" s="430" t="s">
        <v>446</v>
      </c>
      <c r="DV16" s="430" t="s">
        <v>446</v>
      </c>
      <c r="DW16" s="430" t="s">
        <v>446</v>
      </c>
      <c r="DX16" s="430" t="s">
        <v>446</v>
      </c>
      <c r="DY16" s="430" t="s">
        <v>446</v>
      </c>
      <c r="DZ16" s="430" t="s">
        <v>446</v>
      </c>
      <c r="EA16" s="430" t="s">
        <v>446</v>
      </c>
      <c r="EB16" s="430" t="s">
        <v>446</v>
      </c>
      <c r="EC16" s="430" t="s">
        <v>446</v>
      </c>
      <c r="ED16" s="430" t="s">
        <v>446</v>
      </c>
      <c r="EE16" s="430" t="s">
        <v>446</v>
      </c>
      <c r="EF16" s="430" t="s">
        <v>446</v>
      </c>
      <c r="EG16" s="430" t="s">
        <v>446</v>
      </c>
      <c r="EH16" s="430" t="s">
        <v>446</v>
      </c>
      <c r="EI16" s="430" t="s">
        <v>446</v>
      </c>
      <c r="EJ16" s="430" t="s">
        <v>446</v>
      </c>
      <c r="EK16" s="430" t="s">
        <v>446</v>
      </c>
      <c r="EL16" s="430" t="s">
        <v>446</v>
      </c>
      <c r="EM16" s="430" t="s">
        <v>446</v>
      </c>
      <c r="EN16" s="430" t="s">
        <v>446</v>
      </c>
      <c r="EO16" s="430" t="s">
        <v>446</v>
      </c>
      <c r="EP16" s="430" t="s">
        <v>446</v>
      </c>
      <c r="EQ16" s="430" t="s">
        <v>446</v>
      </c>
      <c r="ER16" s="430" t="s">
        <v>446</v>
      </c>
      <c r="ES16" s="430" t="s">
        <v>446</v>
      </c>
      <c r="ET16" s="430" t="s">
        <v>446</v>
      </c>
      <c r="EU16" s="430" t="s">
        <v>446</v>
      </c>
      <c r="EV16" s="430" t="s">
        <v>446</v>
      </c>
      <c r="EW16" s="430" t="s">
        <v>446</v>
      </c>
      <c r="EX16" s="430" t="s">
        <v>446</v>
      </c>
      <c r="EY16" s="430" t="s">
        <v>446</v>
      </c>
      <c r="EZ16" s="430" t="s">
        <v>446</v>
      </c>
      <c r="FA16" s="430" t="s">
        <v>446</v>
      </c>
      <c r="FB16" s="430" t="s">
        <v>446</v>
      </c>
      <c r="FC16" s="430" t="s">
        <v>446</v>
      </c>
      <c r="FD16" s="430" t="s">
        <v>446</v>
      </c>
      <c r="FE16" s="430" t="s">
        <v>446</v>
      </c>
      <c r="FF16" s="430" t="s">
        <v>446</v>
      </c>
      <c r="FG16" s="430" t="s">
        <v>446</v>
      </c>
      <c r="FH16" s="430" t="s">
        <v>446</v>
      </c>
      <c r="FI16" s="430" t="s">
        <v>446</v>
      </c>
      <c r="FJ16" s="430" t="s">
        <v>446</v>
      </c>
      <c r="FK16" s="430" t="s">
        <v>446</v>
      </c>
      <c r="FL16" s="430" t="s">
        <v>446</v>
      </c>
      <c r="FM16" s="430" t="s">
        <v>446</v>
      </c>
      <c r="FN16" s="430" t="s">
        <v>446</v>
      </c>
      <c r="FO16" s="430" t="s">
        <v>446</v>
      </c>
      <c r="FP16" s="430" t="s">
        <v>446</v>
      </c>
      <c r="FQ16" s="430" t="s">
        <v>446</v>
      </c>
      <c r="FR16" s="430" t="s">
        <v>446</v>
      </c>
      <c r="FS16" s="430" t="s">
        <v>446</v>
      </c>
      <c r="FT16" s="430" t="s">
        <v>446</v>
      </c>
      <c r="FU16" s="430" t="s">
        <v>446</v>
      </c>
      <c r="FV16" s="430" t="s">
        <v>446</v>
      </c>
      <c r="FW16" s="430" t="s">
        <v>446</v>
      </c>
      <c r="FX16" s="430" t="s">
        <v>446</v>
      </c>
      <c r="FY16" s="430" t="s">
        <v>446</v>
      </c>
      <c r="FZ16" s="430" t="s">
        <v>446</v>
      </c>
      <c r="GA16" s="430" t="s">
        <v>446</v>
      </c>
      <c r="GB16" s="430" t="s">
        <v>446</v>
      </c>
      <c r="GC16" s="430" t="s">
        <v>446</v>
      </c>
      <c r="GD16" s="430" t="s">
        <v>446</v>
      </c>
      <c r="GE16" s="430" t="s">
        <v>446</v>
      </c>
      <c r="GF16" s="430" t="s">
        <v>446</v>
      </c>
      <c r="GG16" s="430" t="s">
        <v>446</v>
      </c>
      <c r="GH16" s="430" t="s">
        <v>446</v>
      </c>
      <c r="GI16" s="430" t="s">
        <v>446</v>
      </c>
      <c r="GJ16" s="430" t="s">
        <v>446</v>
      </c>
      <c r="GK16" s="430" t="s">
        <v>446</v>
      </c>
      <c r="GL16" s="430" t="s">
        <v>446</v>
      </c>
      <c r="GM16" s="430" t="s">
        <v>446</v>
      </c>
      <c r="GN16" s="430" t="s">
        <v>446</v>
      </c>
      <c r="GO16" s="430" t="s">
        <v>446</v>
      </c>
      <c r="GP16" s="430" t="s">
        <v>446</v>
      </c>
      <c r="GQ16" s="430" t="s">
        <v>446</v>
      </c>
      <c r="GR16" s="430" t="s">
        <v>446</v>
      </c>
      <c r="GS16" s="430" t="s">
        <v>446</v>
      </c>
      <c r="GT16" s="430" t="s">
        <v>446</v>
      </c>
      <c r="GU16" s="430" t="s">
        <v>446</v>
      </c>
      <c r="GV16" s="430" t="s">
        <v>446</v>
      </c>
      <c r="GW16" s="430" t="s">
        <v>446</v>
      </c>
      <c r="GX16" s="430" t="s">
        <v>446</v>
      </c>
      <c r="GY16" s="430" t="s">
        <v>446</v>
      </c>
      <c r="GZ16" s="430" t="s">
        <v>446</v>
      </c>
      <c r="HA16" s="430" t="s">
        <v>446</v>
      </c>
      <c r="HB16" s="430" t="s">
        <v>446</v>
      </c>
      <c r="HC16" s="430" t="s">
        <v>446</v>
      </c>
      <c r="HD16" s="430" t="s">
        <v>446</v>
      </c>
      <c r="HE16" s="430" t="s">
        <v>446</v>
      </c>
      <c r="HF16" s="430" t="s">
        <v>446</v>
      </c>
      <c r="HG16" s="430" t="s">
        <v>446</v>
      </c>
      <c r="HH16" s="430" t="s">
        <v>446</v>
      </c>
      <c r="HI16" s="430" t="s">
        <v>446</v>
      </c>
      <c r="HJ16" s="430" t="s">
        <v>446</v>
      </c>
      <c r="HK16" s="430" t="s">
        <v>446</v>
      </c>
      <c r="HL16" s="430" t="s">
        <v>446</v>
      </c>
      <c r="HM16" s="430" t="s">
        <v>446</v>
      </c>
      <c r="HN16" s="430" t="s">
        <v>446</v>
      </c>
      <c r="HO16" s="430" t="s">
        <v>446</v>
      </c>
      <c r="HP16" s="430" t="s">
        <v>446</v>
      </c>
      <c r="HQ16" s="430" t="s">
        <v>446</v>
      </c>
      <c r="HR16" s="430" t="s">
        <v>446</v>
      </c>
      <c r="HS16" s="430" t="s">
        <v>446</v>
      </c>
      <c r="HT16" s="430" t="s">
        <v>446</v>
      </c>
      <c r="HU16" s="430" t="s">
        <v>446</v>
      </c>
      <c r="HV16" s="430" t="s">
        <v>446</v>
      </c>
      <c r="HW16" s="430" t="s">
        <v>446</v>
      </c>
      <c r="HX16" s="430" t="s">
        <v>446</v>
      </c>
      <c r="HY16" s="430" t="s">
        <v>446</v>
      </c>
      <c r="HZ16" s="430" t="s">
        <v>446</v>
      </c>
      <c r="IA16" s="430" t="s">
        <v>446</v>
      </c>
      <c r="IB16" s="430" t="s">
        <v>446</v>
      </c>
      <c r="IC16" s="430" t="s">
        <v>446</v>
      </c>
      <c r="ID16" s="430" t="s">
        <v>446</v>
      </c>
      <c r="IE16" s="430" t="s">
        <v>446</v>
      </c>
      <c r="IF16" s="430" t="s">
        <v>446</v>
      </c>
      <c r="IG16" s="430" t="s">
        <v>446</v>
      </c>
      <c r="IH16" s="430" t="s">
        <v>446</v>
      </c>
      <c r="II16" s="430" t="s">
        <v>446</v>
      </c>
      <c r="IJ16" s="430" t="s">
        <v>446</v>
      </c>
      <c r="IK16" s="430" t="s">
        <v>446</v>
      </c>
      <c r="IL16" s="430" t="s">
        <v>446</v>
      </c>
      <c r="IM16" s="430" t="s">
        <v>446</v>
      </c>
      <c r="IN16" s="430" t="s">
        <v>446</v>
      </c>
      <c r="IO16" s="430" t="s">
        <v>446</v>
      </c>
      <c r="IP16" s="430" t="s">
        <v>446</v>
      </c>
      <c r="IQ16" s="430" t="s">
        <v>446</v>
      </c>
      <c r="IR16" s="430" t="s">
        <v>446</v>
      </c>
      <c r="IS16" s="430" t="s">
        <v>446</v>
      </c>
      <c r="IT16" s="430" t="s">
        <v>446</v>
      </c>
      <c r="IU16" s="430" t="s">
        <v>446</v>
      </c>
      <c r="IV16" s="430" t="s">
        <v>446</v>
      </c>
      <c r="IW16" s="430" t="s">
        <v>446</v>
      </c>
      <c r="IX16" s="430" t="s">
        <v>446</v>
      </c>
      <c r="IY16" s="430" t="s">
        <v>446</v>
      </c>
      <c r="IZ16" s="430" t="s">
        <v>446</v>
      </c>
      <c r="JA16" s="430" t="s">
        <v>446</v>
      </c>
      <c r="JB16" s="430" t="s">
        <v>446</v>
      </c>
      <c r="JC16" s="430" t="s">
        <v>446</v>
      </c>
      <c r="JD16" s="430" t="s">
        <v>446</v>
      </c>
      <c r="JE16" s="430" t="s">
        <v>446</v>
      </c>
      <c r="JF16" s="430" t="s">
        <v>446</v>
      </c>
      <c r="JG16" s="430" t="s">
        <v>446</v>
      </c>
      <c r="JH16" s="430" t="s">
        <v>446</v>
      </c>
      <c r="JI16" s="430" t="s">
        <v>446</v>
      </c>
      <c r="JJ16" s="430" t="s">
        <v>446</v>
      </c>
      <c r="JK16" s="430" t="s">
        <v>446</v>
      </c>
      <c r="JL16" s="430" t="s">
        <v>446</v>
      </c>
      <c r="JM16" s="430" t="s">
        <v>446</v>
      </c>
      <c r="JN16" s="430" t="s">
        <v>446</v>
      </c>
      <c r="JO16" s="430" t="s">
        <v>446</v>
      </c>
      <c r="JP16" s="430" t="s">
        <v>446</v>
      </c>
      <c r="JQ16" s="430" t="s">
        <v>446</v>
      </c>
      <c r="JR16" s="430" t="s">
        <v>446</v>
      </c>
      <c r="JS16" s="430" t="s">
        <v>446</v>
      </c>
      <c r="JT16" s="430" t="s">
        <v>446</v>
      </c>
      <c r="JU16" s="430" t="s">
        <v>446</v>
      </c>
      <c r="JV16" s="430" t="s">
        <v>446</v>
      </c>
      <c r="JW16" s="430" t="s">
        <v>446</v>
      </c>
      <c r="JX16" s="430" t="s">
        <v>446</v>
      </c>
      <c r="JY16" s="430" t="s">
        <v>446</v>
      </c>
      <c r="JZ16" s="430" t="s">
        <v>446</v>
      </c>
      <c r="KA16" s="430" t="s">
        <v>446</v>
      </c>
      <c r="KB16" s="430" t="s">
        <v>446</v>
      </c>
      <c r="KC16" s="430" t="s">
        <v>446</v>
      </c>
      <c r="KD16" s="430" t="s">
        <v>446</v>
      </c>
      <c r="KE16" s="430" t="s">
        <v>446</v>
      </c>
      <c r="KF16" s="430" t="s">
        <v>446</v>
      </c>
      <c r="KG16" s="430" t="s">
        <v>446</v>
      </c>
      <c r="KH16" s="430" t="s">
        <v>446</v>
      </c>
      <c r="KI16" s="430" t="s">
        <v>446</v>
      </c>
      <c r="KJ16" s="430" t="s">
        <v>446</v>
      </c>
      <c r="KK16" s="430" t="s">
        <v>446</v>
      </c>
      <c r="KL16" s="430" t="s">
        <v>446</v>
      </c>
      <c r="KM16" s="430" t="s">
        <v>446</v>
      </c>
      <c r="KN16" s="430" t="s">
        <v>446</v>
      </c>
      <c r="KO16" s="430" t="s">
        <v>446</v>
      </c>
      <c r="KP16" s="430" t="s">
        <v>446</v>
      </c>
      <c r="KQ16" s="430" t="s">
        <v>446</v>
      </c>
      <c r="KR16" s="430" t="s">
        <v>446</v>
      </c>
      <c r="KS16" s="430" t="s">
        <v>446</v>
      </c>
      <c r="KT16" s="430" t="s">
        <v>446</v>
      </c>
      <c r="KU16" s="430" t="s">
        <v>446</v>
      </c>
      <c r="KV16" s="430" t="s">
        <v>446</v>
      </c>
      <c r="KW16" s="430" t="s">
        <v>446</v>
      </c>
      <c r="KX16" s="430" t="s">
        <v>446</v>
      </c>
      <c r="KY16" s="430" t="s">
        <v>446</v>
      </c>
      <c r="KZ16" s="430" t="s">
        <v>446</v>
      </c>
      <c r="LA16" s="430" t="s">
        <v>446</v>
      </c>
      <c r="LB16" s="430" t="s">
        <v>446</v>
      </c>
      <c r="LC16" s="430" t="s">
        <v>446</v>
      </c>
      <c r="LD16" s="430" t="s">
        <v>446</v>
      </c>
      <c r="LE16" s="430" t="s">
        <v>446</v>
      </c>
      <c r="LF16" s="430" t="s">
        <v>446</v>
      </c>
      <c r="LG16" s="430" t="s">
        <v>446</v>
      </c>
      <c r="LH16" s="430" t="s">
        <v>446</v>
      </c>
      <c r="LI16" s="430" t="s">
        <v>446</v>
      </c>
      <c r="LJ16" s="430" t="s">
        <v>446</v>
      </c>
      <c r="LK16" s="430" t="s">
        <v>446</v>
      </c>
      <c r="LL16" s="430" t="s">
        <v>446</v>
      </c>
      <c r="LM16" s="430" t="s">
        <v>446</v>
      </c>
      <c r="LN16" s="430" t="s">
        <v>446</v>
      </c>
      <c r="LO16" s="430" t="s">
        <v>446</v>
      </c>
      <c r="LP16" s="430" t="s">
        <v>446</v>
      </c>
      <c r="LQ16" s="430" t="s">
        <v>446</v>
      </c>
      <c r="LR16" s="430" t="s">
        <v>446</v>
      </c>
      <c r="LS16" s="430" t="s">
        <v>446</v>
      </c>
      <c r="LT16" s="430" t="s">
        <v>446</v>
      </c>
      <c r="LU16" s="430" t="s">
        <v>446</v>
      </c>
      <c r="LV16" s="430" t="s">
        <v>446</v>
      </c>
      <c r="LW16" s="430" t="s">
        <v>446</v>
      </c>
      <c r="LX16" s="430" t="s">
        <v>446</v>
      </c>
      <c r="LY16" s="430" t="s">
        <v>446</v>
      </c>
      <c r="LZ16" s="430" t="s">
        <v>446</v>
      </c>
      <c r="MA16" s="430" t="s">
        <v>446</v>
      </c>
      <c r="MB16" s="430" t="s">
        <v>446</v>
      </c>
      <c r="MC16" s="430" t="s">
        <v>446</v>
      </c>
      <c r="MD16" s="430" t="s">
        <v>446</v>
      </c>
      <c r="ME16" s="430" t="s">
        <v>446</v>
      </c>
      <c r="MF16" s="430" t="s">
        <v>446</v>
      </c>
      <c r="MG16" s="430" t="s">
        <v>446</v>
      </c>
      <c r="MH16" s="430" t="s">
        <v>446</v>
      </c>
      <c r="MI16" s="430" t="s">
        <v>446</v>
      </c>
      <c r="MJ16" s="430" t="s">
        <v>446</v>
      </c>
      <c r="MK16" s="430" t="s">
        <v>446</v>
      </c>
      <c r="ML16" s="430" t="s">
        <v>446</v>
      </c>
      <c r="MM16" s="430" t="s">
        <v>446</v>
      </c>
      <c r="MN16" s="430" t="s">
        <v>446</v>
      </c>
      <c r="MO16" s="430" t="s">
        <v>446</v>
      </c>
      <c r="MP16" s="430" t="s">
        <v>446</v>
      </c>
      <c r="MQ16" s="430" t="s">
        <v>446</v>
      </c>
      <c r="MR16" s="430" t="s">
        <v>446</v>
      </c>
      <c r="MS16" s="430" t="s">
        <v>446</v>
      </c>
      <c r="MT16" s="430" t="s">
        <v>446</v>
      </c>
      <c r="MU16" s="430" t="s">
        <v>446</v>
      </c>
      <c r="MV16" s="430" t="s">
        <v>446</v>
      </c>
      <c r="MW16" s="430" t="s">
        <v>446</v>
      </c>
      <c r="MX16" s="430" t="s">
        <v>446</v>
      </c>
      <c r="MY16" s="430" t="s">
        <v>446</v>
      </c>
      <c r="MZ16" s="430" t="s">
        <v>446</v>
      </c>
      <c r="NA16" s="430" t="s">
        <v>446</v>
      </c>
      <c r="NB16" s="430" t="s">
        <v>446</v>
      </c>
      <c r="NC16" s="430" t="s">
        <v>446</v>
      </c>
      <c r="ND16" s="430" t="s">
        <v>446</v>
      </c>
      <c r="NE16" s="430" t="s">
        <v>446</v>
      </c>
      <c r="NF16" s="430" t="s">
        <v>446</v>
      </c>
      <c r="NG16" s="430" t="s">
        <v>446</v>
      </c>
      <c r="NH16" s="430" t="s">
        <v>446</v>
      </c>
      <c r="NI16" s="430" t="s">
        <v>446</v>
      </c>
      <c r="NJ16" s="430" t="s">
        <v>446</v>
      </c>
      <c r="NK16" s="430" t="s">
        <v>446</v>
      </c>
      <c r="NL16" s="430" t="s">
        <v>446</v>
      </c>
      <c r="NM16" s="430" t="s">
        <v>446</v>
      </c>
      <c r="NN16" s="430" t="s">
        <v>446</v>
      </c>
      <c r="NO16" s="430" t="s">
        <v>446</v>
      </c>
      <c r="NP16" s="430" t="s">
        <v>446</v>
      </c>
      <c r="NQ16" s="430" t="s">
        <v>446</v>
      </c>
      <c r="NR16" s="430" t="s">
        <v>446</v>
      </c>
      <c r="NS16" s="430" t="s">
        <v>446</v>
      </c>
      <c r="NT16" s="430" t="s">
        <v>446</v>
      </c>
      <c r="NU16" s="430" t="s">
        <v>446</v>
      </c>
      <c r="NV16" s="430" t="s">
        <v>446</v>
      </c>
      <c r="NW16" s="430" t="s">
        <v>446</v>
      </c>
      <c r="NX16" s="430" t="s">
        <v>446</v>
      </c>
      <c r="NY16" s="430" t="s">
        <v>446</v>
      </c>
      <c r="NZ16" s="430" t="s">
        <v>446</v>
      </c>
      <c r="OA16" s="430" t="s">
        <v>446</v>
      </c>
      <c r="OB16" s="430" t="s">
        <v>446</v>
      </c>
      <c r="OC16" s="430" t="s">
        <v>446</v>
      </c>
      <c r="OD16" s="430" t="s">
        <v>446</v>
      </c>
      <c r="OE16" s="430" t="s">
        <v>446</v>
      </c>
      <c r="OF16" s="430" t="s">
        <v>446</v>
      </c>
      <c r="OG16" s="430" t="s">
        <v>446</v>
      </c>
      <c r="OH16" s="430" t="s">
        <v>446</v>
      </c>
      <c r="OI16" s="430" t="s">
        <v>446</v>
      </c>
      <c r="OJ16" s="430" t="s">
        <v>446</v>
      </c>
      <c r="OK16" s="430" t="s">
        <v>446</v>
      </c>
      <c r="OL16" s="430" t="s">
        <v>446</v>
      </c>
      <c r="OM16" s="430" t="s">
        <v>446</v>
      </c>
      <c r="ON16" s="430" t="s">
        <v>446</v>
      </c>
      <c r="OO16" s="430" t="s">
        <v>446</v>
      </c>
      <c r="OP16" s="430" t="s">
        <v>446</v>
      </c>
      <c r="OQ16" s="430" t="s">
        <v>446</v>
      </c>
      <c r="OR16" s="430" t="s">
        <v>446</v>
      </c>
      <c r="OS16" s="430" t="s">
        <v>446</v>
      </c>
      <c r="OT16" s="430" t="s">
        <v>446</v>
      </c>
      <c r="OU16" s="430" t="s">
        <v>446</v>
      </c>
      <c r="OV16" s="430" t="s">
        <v>446</v>
      </c>
      <c r="OW16" s="430" t="s">
        <v>446</v>
      </c>
      <c r="OX16" s="430" t="s">
        <v>446</v>
      </c>
      <c r="OY16" s="430" t="s">
        <v>446</v>
      </c>
      <c r="OZ16" s="430" t="s">
        <v>446</v>
      </c>
      <c r="PA16" s="430" t="s">
        <v>446</v>
      </c>
      <c r="PB16" s="430" t="s">
        <v>446</v>
      </c>
      <c r="PC16" s="430" t="s">
        <v>446</v>
      </c>
      <c r="PD16" s="430" t="s">
        <v>446</v>
      </c>
      <c r="PE16" s="430" t="s">
        <v>446</v>
      </c>
      <c r="PF16" s="430" t="s">
        <v>446</v>
      </c>
      <c r="PG16" s="430" t="s">
        <v>446</v>
      </c>
      <c r="PH16" s="430" t="s">
        <v>446</v>
      </c>
      <c r="PI16" s="430" t="s">
        <v>446</v>
      </c>
      <c r="PJ16" s="430" t="s">
        <v>446</v>
      </c>
      <c r="PK16" s="430" t="s">
        <v>446</v>
      </c>
      <c r="PL16" s="430" t="s">
        <v>446</v>
      </c>
      <c r="PM16" s="430" t="s">
        <v>446</v>
      </c>
      <c r="PN16" s="430" t="s">
        <v>446</v>
      </c>
      <c r="PO16" s="430" t="s">
        <v>446</v>
      </c>
      <c r="PP16" s="430" t="s">
        <v>446</v>
      </c>
      <c r="PQ16" s="430" t="s">
        <v>446</v>
      </c>
      <c r="PR16" s="430" t="s">
        <v>446</v>
      </c>
      <c r="PS16" s="430" t="s">
        <v>446</v>
      </c>
      <c r="PT16" s="430" t="s">
        <v>446</v>
      </c>
      <c r="PU16" s="430" t="s">
        <v>446</v>
      </c>
      <c r="PV16" s="430" t="s">
        <v>446</v>
      </c>
      <c r="PW16" s="430" t="s">
        <v>446</v>
      </c>
      <c r="PX16" s="430" t="s">
        <v>446</v>
      </c>
      <c r="PY16" s="430" t="s">
        <v>446</v>
      </c>
      <c r="PZ16" s="430" t="s">
        <v>446</v>
      </c>
      <c r="QA16" s="430" t="s">
        <v>446</v>
      </c>
      <c r="QB16" s="430" t="s">
        <v>446</v>
      </c>
      <c r="QC16" s="430" t="s">
        <v>446</v>
      </c>
      <c r="QD16" s="430" t="s">
        <v>446</v>
      </c>
      <c r="QE16" s="430" t="s">
        <v>446</v>
      </c>
      <c r="QF16" s="430" t="s">
        <v>446</v>
      </c>
      <c r="QG16" s="430" t="s">
        <v>446</v>
      </c>
      <c r="QH16" s="430" t="s">
        <v>446</v>
      </c>
      <c r="QI16" s="430" t="s">
        <v>446</v>
      </c>
      <c r="QJ16" s="430" t="s">
        <v>446</v>
      </c>
      <c r="QK16" s="430" t="s">
        <v>446</v>
      </c>
      <c r="QL16" s="430" t="s">
        <v>446</v>
      </c>
      <c r="QM16" s="430" t="s">
        <v>446</v>
      </c>
      <c r="QN16" s="430" t="s">
        <v>446</v>
      </c>
      <c r="QO16" s="442" t="s">
        <v>446</v>
      </c>
    </row>
    <row r="17" spans="1:457" ht="30" customHeight="1" x14ac:dyDescent="0.25">
      <c r="A17" s="431" t="str">
        <f>Salas!A16</f>
        <v>E - Cozinha Experimental</v>
      </c>
      <c r="B17" s="429" t="s">
        <v>446</v>
      </c>
      <c r="C17" s="430" t="s">
        <v>446</v>
      </c>
      <c r="D17" s="430" t="s">
        <v>446</v>
      </c>
      <c r="E17" s="430" t="s">
        <v>446</v>
      </c>
      <c r="F17" s="430" t="s">
        <v>446</v>
      </c>
      <c r="G17" s="430" t="s">
        <v>446</v>
      </c>
      <c r="H17" s="430" t="s">
        <v>446</v>
      </c>
      <c r="I17" s="430" t="s">
        <v>446</v>
      </c>
      <c r="J17" s="430" t="s">
        <v>446</v>
      </c>
      <c r="K17" s="430" t="s">
        <v>446</v>
      </c>
      <c r="L17" s="430" t="s">
        <v>446</v>
      </c>
      <c r="M17" s="430" t="s">
        <v>446</v>
      </c>
      <c r="N17" s="430" t="s">
        <v>446</v>
      </c>
      <c r="O17" s="430" t="s">
        <v>446</v>
      </c>
      <c r="P17" s="430" t="s">
        <v>446</v>
      </c>
      <c r="Q17" s="430" t="s">
        <v>446</v>
      </c>
      <c r="R17" s="430" t="s">
        <v>446</v>
      </c>
      <c r="S17" s="430" t="s">
        <v>446</v>
      </c>
      <c r="T17" s="430" t="s">
        <v>446</v>
      </c>
      <c r="U17" s="430" t="s">
        <v>446</v>
      </c>
      <c r="V17" s="430" t="s">
        <v>446</v>
      </c>
      <c r="W17" s="430" t="s">
        <v>446</v>
      </c>
      <c r="X17" s="430" t="s">
        <v>446</v>
      </c>
      <c r="Y17" s="430" t="s">
        <v>446</v>
      </c>
      <c r="Z17" s="430" t="s">
        <v>446</v>
      </c>
      <c r="AA17" s="430" t="s">
        <v>446</v>
      </c>
      <c r="AB17" s="430" t="s">
        <v>446</v>
      </c>
      <c r="AC17" s="430" t="s">
        <v>446</v>
      </c>
      <c r="AD17" s="430" t="s">
        <v>446</v>
      </c>
      <c r="AE17" s="430" t="s">
        <v>446</v>
      </c>
      <c r="AF17" s="430" t="s">
        <v>446</v>
      </c>
      <c r="AG17" s="430" t="s">
        <v>446</v>
      </c>
      <c r="AH17" s="430" t="s">
        <v>446</v>
      </c>
      <c r="AI17" s="430" t="s">
        <v>446</v>
      </c>
      <c r="AJ17" s="430" t="s">
        <v>446</v>
      </c>
      <c r="AK17" s="430" t="s">
        <v>446</v>
      </c>
      <c r="AL17" s="430" t="s">
        <v>446</v>
      </c>
      <c r="AM17" s="430" t="s">
        <v>446</v>
      </c>
      <c r="AN17" s="430" t="s">
        <v>446</v>
      </c>
      <c r="AO17" s="430" t="s">
        <v>446</v>
      </c>
      <c r="AP17" s="430" t="s">
        <v>446</v>
      </c>
      <c r="AQ17" s="430" t="s">
        <v>446</v>
      </c>
      <c r="AR17" s="430" t="s">
        <v>446</v>
      </c>
      <c r="AS17" s="430" t="s">
        <v>446</v>
      </c>
      <c r="AT17" s="430" t="s">
        <v>446</v>
      </c>
      <c r="AU17" s="430" t="s">
        <v>446</v>
      </c>
      <c r="AV17" s="430" t="s">
        <v>446</v>
      </c>
      <c r="AW17" s="430" t="s">
        <v>446</v>
      </c>
      <c r="AX17" s="430" t="s">
        <v>446</v>
      </c>
      <c r="AY17" s="430" t="s">
        <v>446</v>
      </c>
      <c r="AZ17" s="430" t="s">
        <v>446</v>
      </c>
      <c r="BA17" s="430" t="s">
        <v>446</v>
      </c>
      <c r="BB17" s="430" t="s">
        <v>446</v>
      </c>
      <c r="BC17" s="430" t="s">
        <v>446</v>
      </c>
      <c r="BD17" s="430" t="s">
        <v>446</v>
      </c>
      <c r="BE17" s="430" t="s">
        <v>446</v>
      </c>
      <c r="BF17" s="430" t="s">
        <v>446</v>
      </c>
      <c r="BG17" s="430" t="s">
        <v>446</v>
      </c>
      <c r="BH17" s="430" t="s">
        <v>446</v>
      </c>
      <c r="BI17" s="430" t="s">
        <v>446</v>
      </c>
      <c r="BJ17" s="430" t="s">
        <v>446</v>
      </c>
      <c r="BK17" s="430" t="s">
        <v>446</v>
      </c>
      <c r="BL17" s="433" t="s">
        <v>346</v>
      </c>
      <c r="BM17" s="430" t="s">
        <v>446</v>
      </c>
      <c r="BN17" s="430" t="s">
        <v>446</v>
      </c>
      <c r="BO17" s="433" t="s">
        <v>346</v>
      </c>
      <c r="BP17" s="430" t="s">
        <v>446</v>
      </c>
      <c r="BQ17" s="430" t="s">
        <v>446</v>
      </c>
      <c r="BR17" s="430" t="s">
        <v>446</v>
      </c>
      <c r="BS17" s="430" t="s">
        <v>446</v>
      </c>
      <c r="BT17" s="430" t="s">
        <v>446</v>
      </c>
      <c r="BU17" s="430" t="s">
        <v>446</v>
      </c>
      <c r="BV17" s="430" t="s">
        <v>446</v>
      </c>
      <c r="BW17" s="430" t="s">
        <v>446</v>
      </c>
      <c r="BX17" s="430" t="s">
        <v>446</v>
      </c>
      <c r="BY17" s="430" t="s">
        <v>446</v>
      </c>
      <c r="BZ17" s="430" t="s">
        <v>446</v>
      </c>
      <c r="CA17" s="430" t="s">
        <v>446</v>
      </c>
      <c r="CB17" s="430" t="s">
        <v>446</v>
      </c>
      <c r="CC17" s="430" t="s">
        <v>446</v>
      </c>
      <c r="CD17" s="430" t="s">
        <v>446</v>
      </c>
      <c r="CE17" s="430" t="s">
        <v>446</v>
      </c>
      <c r="CF17" s="430" t="s">
        <v>446</v>
      </c>
      <c r="CG17" s="433" t="s">
        <v>346</v>
      </c>
      <c r="CH17" s="430" t="s">
        <v>446</v>
      </c>
      <c r="CI17" s="430" t="s">
        <v>446</v>
      </c>
      <c r="CJ17" s="433" t="s">
        <v>346</v>
      </c>
      <c r="CK17" s="430" t="s">
        <v>446</v>
      </c>
      <c r="CL17" s="430" t="s">
        <v>446</v>
      </c>
      <c r="CM17" s="430" t="s">
        <v>446</v>
      </c>
      <c r="CN17" s="430" t="s">
        <v>446</v>
      </c>
      <c r="CO17" s="430" t="s">
        <v>446</v>
      </c>
      <c r="CP17" s="430" t="s">
        <v>446</v>
      </c>
      <c r="CQ17" s="430" t="s">
        <v>446</v>
      </c>
      <c r="CR17" s="430" t="s">
        <v>446</v>
      </c>
      <c r="CS17" s="430" t="s">
        <v>446</v>
      </c>
      <c r="CT17" s="430" t="s">
        <v>446</v>
      </c>
      <c r="CU17" s="430" t="s">
        <v>446</v>
      </c>
      <c r="CV17" s="430" t="s">
        <v>446</v>
      </c>
      <c r="CW17" s="430" t="s">
        <v>446</v>
      </c>
      <c r="CX17" s="430" t="s">
        <v>446</v>
      </c>
      <c r="CY17" s="430" t="s">
        <v>446</v>
      </c>
      <c r="CZ17" s="430" t="s">
        <v>446</v>
      </c>
      <c r="DA17" s="430" t="s">
        <v>446</v>
      </c>
      <c r="DB17" s="433" t="s">
        <v>346</v>
      </c>
      <c r="DC17" s="430" t="s">
        <v>446</v>
      </c>
      <c r="DD17" s="430" t="s">
        <v>446</v>
      </c>
      <c r="DE17" s="433" t="s">
        <v>346</v>
      </c>
      <c r="DF17" s="430" t="s">
        <v>446</v>
      </c>
      <c r="DG17" s="430" t="s">
        <v>446</v>
      </c>
      <c r="DH17" s="430" t="s">
        <v>446</v>
      </c>
      <c r="DI17" s="430" t="s">
        <v>446</v>
      </c>
      <c r="DJ17" s="430" t="s">
        <v>446</v>
      </c>
      <c r="DK17" s="430" t="s">
        <v>446</v>
      </c>
      <c r="DL17" s="430" t="s">
        <v>446</v>
      </c>
      <c r="DM17" s="430" t="s">
        <v>446</v>
      </c>
      <c r="DN17" s="430" t="s">
        <v>446</v>
      </c>
      <c r="DO17" s="430" t="s">
        <v>446</v>
      </c>
      <c r="DP17" s="430" t="s">
        <v>446</v>
      </c>
      <c r="DQ17" s="430" t="s">
        <v>446</v>
      </c>
      <c r="DR17" s="430" t="s">
        <v>446</v>
      </c>
      <c r="DS17" s="430" t="s">
        <v>446</v>
      </c>
      <c r="DT17" s="430" t="s">
        <v>446</v>
      </c>
      <c r="DU17" s="430" t="s">
        <v>446</v>
      </c>
      <c r="DV17" s="430" t="s">
        <v>446</v>
      </c>
      <c r="DW17" s="430" t="s">
        <v>446</v>
      </c>
      <c r="DX17" s="430" t="s">
        <v>446</v>
      </c>
      <c r="DY17" s="430" t="s">
        <v>446</v>
      </c>
      <c r="DZ17" s="430" t="s">
        <v>446</v>
      </c>
      <c r="EA17" s="430" t="s">
        <v>446</v>
      </c>
      <c r="EB17" s="430" t="s">
        <v>446</v>
      </c>
      <c r="EC17" s="430" t="s">
        <v>446</v>
      </c>
      <c r="ED17" s="430" t="s">
        <v>446</v>
      </c>
      <c r="EE17" s="430" t="s">
        <v>446</v>
      </c>
      <c r="EF17" s="430" t="s">
        <v>446</v>
      </c>
      <c r="EG17" s="430" t="s">
        <v>446</v>
      </c>
      <c r="EH17" s="430" t="s">
        <v>446</v>
      </c>
      <c r="EI17" s="430" t="s">
        <v>446</v>
      </c>
      <c r="EJ17" s="430" t="s">
        <v>446</v>
      </c>
      <c r="EK17" s="430" t="s">
        <v>446</v>
      </c>
      <c r="EL17" s="430" t="s">
        <v>446</v>
      </c>
      <c r="EM17" s="430" t="s">
        <v>446</v>
      </c>
      <c r="EN17" s="430" t="s">
        <v>446</v>
      </c>
      <c r="EO17" s="430" t="s">
        <v>446</v>
      </c>
      <c r="EP17" s="430" t="s">
        <v>446</v>
      </c>
      <c r="EQ17" s="430" t="s">
        <v>446</v>
      </c>
      <c r="ER17" s="430" t="s">
        <v>446</v>
      </c>
      <c r="ES17" s="430" t="s">
        <v>446</v>
      </c>
      <c r="ET17" s="430" t="s">
        <v>446</v>
      </c>
      <c r="EU17" s="430" t="s">
        <v>446</v>
      </c>
      <c r="EV17" s="430" t="s">
        <v>446</v>
      </c>
      <c r="EW17" s="430" t="s">
        <v>446</v>
      </c>
      <c r="EX17" s="430" t="s">
        <v>446</v>
      </c>
      <c r="EY17" s="430" t="s">
        <v>446</v>
      </c>
      <c r="EZ17" s="430" t="s">
        <v>446</v>
      </c>
      <c r="FA17" s="430" t="s">
        <v>446</v>
      </c>
      <c r="FB17" s="430" t="s">
        <v>446</v>
      </c>
      <c r="FC17" s="430" t="s">
        <v>446</v>
      </c>
      <c r="FD17" s="430" t="s">
        <v>446</v>
      </c>
      <c r="FE17" s="430" t="s">
        <v>446</v>
      </c>
      <c r="FF17" s="430" t="s">
        <v>446</v>
      </c>
      <c r="FG17" s="430" t="s">
        <v>446</v>
      </c>
      <c r="FH17" s="430" t="s">
        <v>446</v>
      </c>
      <c r="FI17" s="430" t="s">
        <v>446</v>
      </c>
      <c r="FJ17" s="430" t="s">
        <v>446</v>
      </c>
      <c r="FK17" s="430" t="s">
        <v>446</v>
      </c>
      <c r="FL17" s="430" t="s">
        <v>446</v>
      </c>
      <c r="FM17" s="430" t="s">
        <v>446</v>
      </c>
      <c r="FN17" s="430" t="s">
        <v>446</v>
      </c>
      <c r="FO17" s="430" t="s">
        <v>446</v>
      </c>
      <c r="FP17" s="430" t="s">
        <v>446</v>
      </c>
      <c r="FQ17" s="430" t="s">
        <v>446</v>
      </c>
      <c r="FR17" s="430" t="s">
        <v>446</v>
      </c>
      <c r="FS17" s="430" t="s">
        <v>446</v>
      </c>
      <c r="FT17" s="430" t="s">
        <v>446</v>
      </c>
      <c r="FU17" s="430" t="s">
        <v>446</v>
      </c>
      <c r="FV17" s="430" t="s">
        <v>446</v>
      </c>
      <c r="FW17" s="430" t="s">
        <v>446</v>
      </c>
      <c r="FX17" s="430" t="s">
        <v>446</v>
      </c>
      <c r="FY17" s="430" t="s">
        <v>446</v>
      </c>
      <c r="FZ17" s="430" t="s">
        <v>446</v>
      </c>
      <c r="GA17" s="430" t="s">
        <v>446</v>
      </c>
      <c r="GB17" s="430" t="s">
        <v>446</v>
      </c>
      <c r="GC17" s="430" t="s">
        <v>446</v>
      </c>
      <c r="GD17" s="430" t="s">
        <v>446</v>
      </c>
      <c r="GE17" s="430" t="s">
        <v>446</v>
      </c>
      <c r="GF17" s="430" t="s">
        <v>446</v>
      </c>
      <c r="GG17" s="430" t="s">
        <v>446</v>
      </c>
      <c r="GH17" s="430" t="s">
        <v>446</v>
      </c>
      <c r="GI17" s="430" t="s">
        <v>446</v>
      </c>
      <c r="GJ17" s="430" t="s">
        <v>446</v>
      </c>
      <c r="GK17" s="430" t="s">
        <v>446</v>
      </c>
      <c r="GL17" s="430" t="s">
        <v>446</v>
      </c>
      <c r="GM17" s="430" t="s">
        <v>446</v>
      </c>
      <c r="GN17" s="430" t="s">
        <v>446</v>
      </c>
      <c r="GO17" s="430" t="s">
        <v>446</v>
      </c>
      <c r="GP17" s="430" t="s">
        <v>446</v>
      </c>
      <c r="GQ17" s="430" t="s">
        <v>446</v>
      </c>
      <c r="GR17" s="430" t="s">
        <v>446</v>
      </c>
      <c r="GS17" s="430" t="s">
        <v>446</v>
      </c>
      <c r="GT17" s="430" t="s">
        <v>446</v>
      </c>
      <c r="GU17" s="430" t="s">
        <v>446</v>
      </c>
      <c r="GV17" s="430" t="s">
        <v>446</v>
      </c>
      <c r="GW17" s="430" t="s">
        <v>446</v>
      </c>
      <c r="GX17" s="430" t="s">
        <v>446</v>
      </c>
      <c r="GY17" s="430" t="s">
        <v>446</v>
      </c>
      <c r="GZ17" s="430" t="s">
        <v>446</v>
      </c>
      <c r="HA17" s="430" t="s">
        <v>446</v>
      </c>
      <c r="HB17" s="430" t="s">
        <v>446</v>
      </c>
      <c r="HC17" s="430" t="s">
        <v>446</v>
      </c>
      <c r="HD17" s="430" t="s">
        <v>446</v>
      </c>
      <c r="HE17" s="430" t="s">
        <v>446</v>
      </c>
      <c r="HF17" s="430" t="s">
        <v>446</v>
      </c>
      <c r="HG17" s="430" t="s">
        <v>446</v>
      </c>
      <c r="HH17" s="430" t="s">
        <v>446</v>
      </c>
      <c r="HI17" s="430" t="s">
        <v>446</v>
      </c>
      <c r="HJ17" s="430" t="s">
        <v>446</v>
      </c>
      <c r="HK17" s="430" t="s">
        <v>446</v>
      </c>
      <c r="HL17" s="430" t="s">
        <v>446</v>
      </c>
      <c r="HM17" s="430" t="s">
        <v>446</v>
      </c>
      <c r="HN17" s="430" t="s">
        <v>446</v>
      </c>
      <c r="HO17" s="430" t="s">
        <v>446</v>
      </c>
      <c r="HP17" s="430" t="s">
        <v>446</v>
      </c>
      <c r="HQ17" s="430" t="s">
        <v>446</v>
      </c>
      <c r="HR17" s="430" t="s">
        <v>446</v>
      </c>
      <c r="HS17" s="430" t="s">
        <v>446</v>
      </c>
      <c r="HT17" s="430" t="s">
        <v>446</v>
      </c>
      <c r="HU17" s="430" t="s">
        <v>446</v>
      </c>
      <c r="HV17" s="430" t="s">
        <v>446</v>
      </c>
      <c r="HW17" s="430" t="s">
        <v>446</v>
      </c>
      <c r="HX17" s="430" t="s">
        <v>446</v>
      </c>
      <c r="HY17" s="430" t="s">
        <v>446</v>
      </c>
      <c r="HZ17" s="430" t="s">
        <v>446</v>
      </c>
      <c r="IA17" s="430" t="s">
        <v>446</v>
      </c>
      <c r="IB17" s="430" t="s">
        <v>446</v>
      </c>
      <c r="IC17" s="430" t="s">
        <v>446</v>
      </c>
      <c r="ID17" s="430" t="s">
        <v>446</v>
      </c>
      <c r="IE17" s="430" t="s">
        <v>446</v>
      </c>
      <c r="IF17" s="430" t="s">
        <v>446</v>
      </c>
      <c r="IG17" s="430" t="s">
        <v>446</v>
      </c>
      <c r="IH17" s="430" t="s">
        <v>446</v>
      </c>
      <c r="II17" s="430" t="s">
        <v>446</v>
      </c>
      <c r="IJ17" s="430" t="s">
        <v>446</v>
      </c>
      <c r="IK17" s="430" t="s">
        <v>446</v>
      </c>
      <c r="IL17" s="430" t="s">
        <v>446</v>
      </c>
      <c r="IM17" s="430" t="s">
        <v>446</v>
      </c>
      <c r="IN17" s="430" t="s">
        <v>446</v>
      </c>
      <c r="IO17" s="430" t="s">
        <v>446</v>
      </c>
      <c r="IP17" s="430" t="s">
        <v>446</v>
      </c>
      <c r="IQ17" s="430" t="s">
        <v>446</v>
      </c>
      <c r="IR17" s="430" t="s">
        <v>446</v>
      </c>
      <c r="IS17" s="430" t="s">
        <v>446</v>
      </c>
      <c r="IT17" s="430" t="s">
        <v>446</v>
      </c>
      <c r="IU17" s="430" t="s">
        <v>446</v>
      </c>
      <c r="IV17" s="430" t="s">
        <v>446</v>
      </c>
      <c r="IW17" s="430" t="s">
        <v>446</v>
      </c>
      <c r="IX17" s="430" t="s">
        <v>446</v>
      </c>
      <c r="IY17" s="430" t="s">
        <v>446</v>
      </c>
      <c r="IZ17" s="430" t="s">
        <v>446</v>
      </c>
      <c r="JA17" s="430" t="s">
        <v>446</v>
      </c>
      <c r="JB17" s="430" t="s">
        <v>446</v>
      </c>
      <c r="JC17" s="430" t="s">
        <v>446</v>
      </c>
      <c r="JD17" s="430" t="s">
        <v>446</v>
      </c>
      <c r="JE17" s="430" t="s">
        <v>446</v>
      </c>
      <c r="JF17" s="430" t="s">
        <v>446</v>
      </c>
      <c r="JG17" s="430" t="s">
        <v>446</v>
      </c>
      <c r="JH17" s="430" t="s">
        <v>446</v>
      </c>
      <c r="JI17" s="430" t="s">
        <v>446</v>
      </c>
      <c r="JJ17" s="430" t="s">
        <v>446</v>
      </c>
      <c r="JK17" s="430" t="s">
        <v>446</v>
      </c>
      <c r="JL17" s="430" t="s">
        <v>446</v>
      </c>
      <c r="JM17" s="430" t="s">
        <v>446</v>
      </c>
      <c r="JN17" s="430" t="s">
        <v>446</v>
      </c>
      <c r="JO17" s="430" t="s">
        <v>446</v>
      </c>
      <c r="JP17" s="430" t="s">
        <v>446</v>
      </c>
      <c r="JQ17" s="430" t="s">
        <v>446</v>
      </c>
      <c r="JR17" s="430" t="s">
        <v>446</v>
      </c>
      <c r="JS17" s="430" t="s">
        <v>446</v>
      </c>
      <c r="JT17" s="430" t="s">
        <v>446</v>
      </c>
      <c r="JU17" s="430" t="s">
        <v>446</v>
      </c>
      <c r="JV17" s="430" t="s">
        <v>446</v>
      </c>
      <c r="JW17" s="430" t="s">
        <v>446</v>
      </c>
      <c r="JX17" s="430" t="s">
        <v>446</v>
      </c>
      <c r="JY17" s="430" t="s">
        <v>446</v>
      </c>
      <c r="JZ17" s="430" t="s">
        <v>446</v>
      </c>
      <c r="KA17" s="430" t="s">
        <v>446</v>
      </c>
      <c r="KB17" s="430" t="s">
        <v>446</v>
      </c>
      <c r="KC17" s="430" t="s">
        <v>446</v>
      </c>
      <c r="KD17" s="430" t="s">
        <v>446</v>
      </c>
      <c r="KE17" s="430" t="s">
        <v>446</v>
      </c>
      <c r="KF17" s="430" t="s">
        <v>446</v>
      </c>
      <c r="KG17" s="430" t="s">
        <v>446</v>
      </c>
      <c r="KH17" s="430" t="s">
        <v>446</v>
      </c>
      <c r="KI17" s="430" t="s">
        <v>446</v>
      </c>
      <c r="KJ17" s="430" t="s">
        <v>446</v>
      </c>
      <c r="KK17" s="430" t="s">
        <v>446</v>
      </c>
      <c r="KL17" s="430" t="s">
        <v>446</v>
      </c>
      <c r="KM17" s="430" t="s">
        <v>446</v>
      </c>
      <c r="KN17" s="430" t="s">
        <v>446</v>
      </c>
      <c r="KO17" s="430" t="s">
        <v>446</v>
      </c>
      <c r="KP17" s="430" t="s">
        <v>446</v>
      </c>
      <c r="KQ17" s="430" t="s">
        <v>446</v>
      </c>
      <c r="KR17" s="430" t="s">
        <v>446</v>
      </c>
      <c r="KS17" s="430" t="s">
        <v>446</v>
      </c>
      <c r="KT17" s="430" t="s">
        <v>446</v>
      </c>
      <c r="KU17" s="430" t="s">
        <v>446</v>
      </c>
      <c r="KV17" s="430" t="s">
        <v>446</v>
      </c>
      <c r="KW17" s="430" t="s">
        <v>446</v>
      </c>
      <c r="KX17" s="430" t="s">
        <v>446</v>
      </c>
      <c r="KY17" s="430" t="s">
        <v>446</v>
      </c>
      <c r="KZ17" s="430" t="s">
        <v>446</v>
      </c>
      <c r="LA17" s="430" t="s">
        <v>446</v>
      </c>
      <c r="LB17" s="430" t="s">
        <v>446</v>
      </c>
      <c r="LC17" s="430" t="s">
        <v>446</v>
      </c>
      <c r="LD17" s="430" t="s">
        <v>446</v>
      </c>
      <c r="LE17" s="430" t="s">
        <v>446</v>
      </c>
      <c r="LF17" s="430" t="s">
        <v>446</v>
      </c>
      <c r="LG17" s="430" t="s">
        <v>446</v>
      </c>
      <c r="LH17" s="430" t="s">
        <v>446</v>
      </c>
      <c r="LI17" s="430" t="s">
        <v>446</v>
      </c>
      <c r="LJ17" s="430" t="s">
        <v>446</v>
      </c>
      <c r="LK17" s="430" t="s">
        <v>446</v>
      </c>
      <c r="LL17" s="430" t="s">
        <v>446</v>
      </c>
      <c r="LM17" s="430" t="s">
        <v>446</v>
      </c>
      <c r="LN17" s="430" t="s">
        <v>446</v>
      </c>
      <c r="LO17" s="430" t="s">
        <v>446</v>
      </c>
      <c r="LP17" s="430" t="s">
        <v>446</v>
      </c>
      <c r="LQ17" s="430" t="s">
        <v>446</v>
      </c>
      <c r="LR17" s="430" t="s">
        <v>446</v>
      </c>
      <c r="LS17" s="430" t="s">
        <v>446</v>
      </c>
      <c r="LT17" s="430" t="s">
        <v>446</v>
      </c>
      <c r="LU17" s="430" t="s">
        <v>446</v>
      </c>
      <c r="LV17" s="430" t="s">
        <v>446</v>
      </c>
      <c r="LW17" s="430" t="s">
        <v>446</v>
      </c>
      <c r="LX17" s="430" t="s">
        <v>446</v>
      </c>
      <c r="LY17" s="430" t="s">
        <v>446</v>
      </c>
      <c r="LZ17" s="430" t="s">
        <v>446</v>
      </c>
      <c r="MA17" s="430" t="s">
        <v>446</v>
      </c>
      <c r="MB17" s="430" t="s">
        <v>446</v>
      </c>
      <c r="MC17" s="430" t="s">
        <v>446</v>
      </c>
      <c r="MD17" s="430" t="s">
        <v>446</v>
      </c>
      <c r="ME17" s="430" t="s">
        <v>446</v>
      </c>
      <c r="MF17" s="430" t="s">
        <v>446</v>
      </c>
      <c r="MG17" s="430" t="s">
        <v>446</v>
      </c>
      <c r="MH17" s="430" t="s">
        <v>446</v>
      </c>
      <c r="MI17" s="430" t="s">
        <v>446</v>
      </c>
      <c r="MJ17" s="430" t="s">
        <v>446</v>
      </c>
      <c r="MK17" s="430" t="s">
        <v>446</v>
      </c>
      <c r="ML17" s="430" t="s">
        <v>446</v>
      </c>
      <c r="MM17" s="430" t="s">
        <v>446</v>
      </c>
      <c r="MN17" s="430" t="s">
        <v>446</v>
      </c>
      <c r="MO17" s="430" t="s">
        <v>446</v>
      </c>
      <c r="MP17" s="430" t="s">
        <v>446</v>
      </c>
      <c r="MQ17" s="430" t="s">
        <v>446</v>
      </c>
      <c r="MR17" s="430" t="s">
        <v>446</v>
      </c>
      <c r="MS17" s="430" t="s">
        <v>446</v>
      </c>
      <c r="MT17" s="430" t="s">
        <v>446</v>
      </c>
      <c r="MU17" s="430" t="s">
        <v>446</v>
      </c>
      <c r="MV17" s="430" t="s">
        <v>446</v>
      </c>
      <c r="MW17" s="430" t="s">
        <v>446</v>
      </c>
      <c r="MX17" s="430" t="s">
        <v>446</v>
      </c>
      <c r="MY17" s="430" t="s">
        <v>446</v>
      </c>
      <c r="MZ17" s="430" t="s">
        <v>446</v>
      </c>
      <c r="NA17" s="430" t="s">
        <v>446</v>
      </c>
      <c r="NB17" s="430" t="s">
        <v>446</v>
      </c>
      <c r="NC17" s="430" t="s">
        <v>446</v>
      </c>
      <c r="ND17" s="430" t="s">
        <v>446</v>
      </c>
      <c r="NE17" s="430" t="s">
        <v>446</v>
      </c>
      <c r="NF17" s="430" t="s">
        <v>446</v>
      </c>
      <c r="NG17" s="430" t="s">
        <v>446</v>
      </c>
      <c r="NH17" s="430" t="s">
        <v>446</v>
      </c>
      <c r="NI17" s="430" t="s">
        <v>446</v>
      </c>
      <c r="NJ17" s="430" t="s">
        <v>446</v>
      </c>
      <c r="NK17" s="430" t="s">
        <v>446</v>
      </c>
      <c r="NL17" s="430" t="s">
        <v>446</v>
      </c>
      <c r="NM17" s="430" t="s">
        <v>446</v>
      </c>
      <c r="NN17" s="430" t="s">
        <v>446</v>
      </c>
      <c r="NO17" s="430" t="s">
        <v>446</v>
      </c>
      <c r="NP17" s="430" t="s">
        <v>446</v>
      </c>
      <c r="NQ17" s="430" t="s">
        <v>446</v>
      </c>
      <c r="NR17" s="430" t="s">
        <v>446</v>
      </c>
      <c r="NS17" s="430" t="s">
        <v>446</v>
      </c>
      <c r="NT17" s="430" t="s">
        <v>446</v>
      </c>
      <c r="NU17" s="430" t="s">
        <v>446</v>
      </c>
      <c r="NV17" s="430" t="s">
        <v>446</v>
      </c>
      <c r="NW17" s="430" t="s">
        <v>446</v>
      </c>
      <c r="NX17" s="430" t="s">
        <v>446</v>
      </c>
      <c r="NY17" s="430" t="s">
        <v>446</v>
      </c>
      <c r="NZ17" s="430" t="s">
        <v>446</v>
      </c>
      <c r="OA17" s="430" t="s">
        <v>446</v>
      </c>
      <c r="OB17" s="430" t="s">
        <v>446</v>
      </c>
      <c r="OC17" s="430" t="s">
        <v>446</v>
      </c>
      <c r="OD17" s="430" t="s">
        <v>446</v>
      </c>
      <c r="OE17" s="430" t="s">
        <v>446</v>
      </c>
      <c r="OF17" s="430" t="s">
        <v>446</v>
      </c>
      <c r="OG17" s="430" t="s">
        <v>446</v>
      </c>
      <c r="OH17" s="430" t="s">
        <v>446</v>
      </c>
      <c r="OI17" s="430" t="s">
        <v>446</v>
      </c>
      <c r="OJ17" s="430" t="s">
        <v>446</v>
      </c>
      <c r="OK17" s="430" t="s">
        <v>446</v>
      </c>
      <c r="OL17" s="430" t="s">
        <v>446</v>
      </c>
      <c r="OM17" s="430" t="s">
        <v>446</v>
      </c>
      <c r="ON17" s="430" t="s">
        <v>446</v>
      </c>
      <c r="OO17" s="430" t="s">
        <v>446</v>
      </c>
      <c r="OP17" s="430" t="s">
        <v>446</v>
      </c>
      <c r="OQ17" s="430" t="s">
        <v>446</v>
      </c>
      <c r="OR17" s="430" t="s">
        <v>446</v>
      </c>
      <c r="OS17" s="430" t="s">
        <v>446</v>
      </c>
      <c r="OT17" s="430" t="s">
        <v>446</v>
      </c>
      <c r="OU17" s="430" t="s">
        <v>446</v>
      </c>
      <c r="OV17" s="430" t="s">
        <v>446</v>
      </c>
      <c r="OW17" s="430" t="s">
        <v>446</v>
      </c>
      <c r="OX17" s="430" t="s">
        <v>446</v>
      </c>
      <c r="OY17" s="430" t="s">
        <v>446</v>
      </c>
      <c r="OZ17" s="430" t="s">
        <v>446</v>
      </c>
      <c r="PA17" s="430" t="s">
        <v>446</v>
      </c>
      <c r="PB17" s="430" t="s">
        <v>446</v>
      </c>
      <c r="PC17" s="430" t="s">
        <v>446</v>
      </c>
      <c r="PD17" s="430" t="s">
        <v>446</v>
      </c>
      <c r="PE17" s="430" t="s">
        <v>446</v>
      </c>
      <c r="PF17" s="430" t="s">
        <v>446</v>
      </c>
      <c r="PG17" s="430" t="s">
        <v>446</v>
      </c>
      <c r="PH17" s="430" t="s">
        <v>446</v>
      </c>
      <c r="PI17" s="430" t="s">
        <v>446</v>
      </c>
      <c r="PJ17" s="430" t="s">
        <v>446</v>
      </c>
      <c r="PK17" s="430" t="s">
        <v>446</v>
      </c>
      <c r="PL17" s="430" t="s">
        <v>446</v>
      </c>
      <c r="PM17" s="430" t="s">
        <v>446</v>
      </c>
      <c r="PN17" s="430" t="s">
        <v>446</v>
      </c>
      <c r="PO17" s="430" t="s">
        <v>446</v>
      </c>
      <c r="PP17" s="430" t="s">
        <v>446</v>
      </c>
      <c r="PQ17" s="430" t="s">
        <v>446</v>
      </c>
      <c r="PR17" s="430" t="s">
        <v>446</v>
      </c>
      <c r="PS17" s="430" t="s">
        <v>446</v>
      </c>
      <c r="PT17" s="430" t="s">
        <v>446</v>
      </c>
      <c r="PU17" s="430" t="s">
        <v>446</v>
      </c>
      <c r="PV17" s="430" t="s">
        <v>446</v>
      </c>
      <c r="PW17" s="430" t="s">
        <v>446</v>
      </c>
      <c r="PX17" s="430" t="s">
        <v>446</v>
      </c>
      <c r="PY17" s="430" t="s">
        <v>446</v>
      </c>
      <c r="PZ17" s="430" t="s">
        <v>446</v>
      </c>
      <c r="QA17" s="430" t="s">
        <v>446</v>
      </c>
      <c r="QB17" s="430" t="s">
        <v>446</v>
      </c>
      <c r="QC17" s="430" t="s">
        <v>446</v>
      </c>
      <c r="QD17" s="430" t="s">
        <v>446</v>
      </c>
      <c r="QE17" s="430" t="s">
        <v>446</v>
      </c>
      <c r="QF17" s="430" t="s">
        <v>446</v>
      </c>
      <c r="QG17" s="430" t="s">
        <v>446</v>
      </c>
      <c r="QH17" s="430" t="s">
        <v>446</v>
      </c>
      <c r="QI17" s="430" t="s">
        <v>446</v>
      </c>
      <c r="QJ17" s="430" t="s">
        <v>446</v>
      </c>
      <c r="QK17" s="430" t="s">
        <v>446</v>
      </c>
      <c r="QL17" s="430" t="s">
        <v>446</v>
      </c>
      <c r="QM17" s="430" t="s">
        <v>446</v>
      </c>
      <c r="QN17" s="430" t="s">
        <v>446</v>
      </c>
      <c r="QO17" s="442" t="s">
        <v>446</v>
      </c>
    </row>
    <row r="18" spans="1:457" ht="30" customHeight="1" x14ac:dyDescent="0.25">
      <c r="A18" s="431" t="str">
        <f>Salas!A17</f>
        <v>F - Sala de Aula</v>
      </c>
      <c r="B18" s="429" t="s">
        <v>446</v>
      </c>
      <c r="C18" s="430" t="s">
        <v>446</v>
      </c>
      <c r="D18" s="430" t="s">
        <v>446</v>
      </c>
      <c r="E18" s="430" t="s">
        <v>446</v>
      </c>
      <c r="F18" s="430" t="s">
        <v>446</v>
      </c>
      <c r="G18" s="430" t="s">
        <v>446</v>
      </c>
      <c r="H18" s="430" t="s">
        <v>446</v>
      </c>
      <c r="I18" s="430" t="s">
        <v>446</v>
      </c>
      <c r="J18" s="430" t="s">
        <v>446</v>
      </c>
      <c r="K18" s="430" t="s">
        <v>446</v>
      </c>
      <c r="L18" s="430" t="s">
        <v>446</v>
      </c>
      <c r="M18" s="430" t="s">
        <v>446</v>
      </c>
      <c r="N18" s="430" t="s">
        <v>446</v>
      </c>
      <c r="O18" s="430" t="s">
        <v>446</v>
      </c>
      <c r="P18" s="430" t="s">
        <v>446</v>
      </c>
      <c r="Q18" s="430" t="s">
        <v>446</v>
      </c>
      <c r="R18" s="430" t="s">
        <v>446</v>
      </c>
      <c r="S18" s="430" t="s">
        <v>446</v>
      </c>
      <c r="T18" s="430" t="s">
        <v>446</v>
      </c>
      <c r="U18" s="430" t="s">
        <v>446</v>
      </c>
      <c r="V18" s="430" t="s">
        <v>446</v>
      </c>
      <c r="W18" s="430" t="s">
        <v>446</v>
      </c>
      <c r="X18" s="430" t="s">
        <v>446</v>
      </c>
      <c r="Y18" s="430" t="s">
        <v>446</v>
      </c>
      <c r="Z18" s="430" t="s">
        <v>446</v>
      </c>
      <c r="AA18" s="430" t="s">
        <v>446</v>
      </c>
      <c r="AB18" s="430" t="s">
        <v>446</v>
      </c>
      <c r="AC18" s="430" t="s">
        <v>446</v>
      </c>
      <c r="AD18" s="430" t="s">
        <v>446</v>
      </c>
      <c r="AE18" s="430" t="s">
        <v>446</v>
      </c>
      <c r="AF18" s="430" t="s">
        <v>446</v>
      </c>
      <c r="AG18" s="430" t="s">
        <v>446</v>
      </c>
      <c r="AH18" s="430" t="s">
        <v>446</v>
      </c>
      <c r="AI18" s="430" t="s">
        <v>446</v>
      </c>
      <c r="AJ18" s="430" t="s">
        <v>446</v>
      </c>
      <c r="AK18" s="430" t="s">
        <v>446</v>
      </c>
      <c r="AL18" s="430" t="s">
        <v>446</v>
      </c>
      <c r="AM18" s="430" t="s">
        <v>446</v>
      </c>
      <c r="AN18" s="430" t="s">
        <v>446</v>
      </c>
      <c r="AO18" s="430" t="s">
        <v>446</v>
      </c>
      <c r="AP18" s="430" t="s">
        <v>446</v>
      </c>
      <c r="AQ18" s="430" t="s">
        <v>446</v>
      </c>
      <c r="AR18" s="430" t="s">
        <v>446</v>
      </c>
      <c r="AS18" s="430" t="s">
        <v>446</v>
      </c>
      <c r="AT18" s="430" t="s">
        <v>446</v>
      </c>
      <c r="AU18" s="430" t="s">
        <v>446</v>
      </c>
      <c r="AV18" s="430" t="s">
        <v>446</v>
      </c>
      <c r="AW18" s="430" t="s">
        <v>446</v>
      </c>
      <c r="AX18" s="430" t="s">
        <v>446</v>
      </c>
      <c r="AY18" s="430" t="s">
        <v>446</v>
      </c>
      <c r="AZ18" s="430" t="s">
        <v>446</v>
      </c>
      <c r="BA18" s="430" t="s">
        <v>446</v>
      </c>
      <c r="BB18" s="430" t="s">
        <v>446</v>
      </c>
      <c r="BC18" s="430" t="s">
        <v>446</v>
      </c>
      <c r="BD18" s="430" t="s">
        <v>446</v>
      </c>
      <c r="BE18" s="430" t="s">
        <v>446</v>
      </c>
      <c r="BF18" s="430" t="s">
        <v>446</v>
      </c>
      <c r="BG18" s="430" t="s">
        <v>446</v>
      </c>
      <c r="BH18" s="430" t="s">
        <v>446</v>
      </c>
      <c r="BI18" s="430" t="s">
        <v>446</v>
      </c>
      <c r="BJ18" s="430" t="s">
        <v>446</v>
      </c>
      <c r="BK18" s="432" t="s">
        <v>281</v>
      </c>
      <c r="BL18" s="430" t="s">
        <v>446</v>
      </c>
      <c r="BM18" s="430" t="s">
        <v>446</v>
      </c>
      <c r="BN18" s="430" t="s">
        <v>446</v>
      </c>
      <c r="BO18" s="430" t="s">
        <v>446</v>
      </c>
      <c r="BP18" s="430" t="s">
        <v>446</v>
      </c>
      <c r="BQ18" s="430" t="s">
        <v>446</v>
      </c>
      <c r="BR18" s="430" t="s">
        <v>446</v>
      </c>
      <c r="BS18" s="430" t="s">
        <v>446</v>
      </c>
      <c r="BT18" s="430" t="s">
        <v>446</v>
      </c>
      <c r="BU18" s="430" t="s">
        <v>446</v>
      </c>
      <c r="BV18" s="430" t="s">
        <v>446</v>
      </c>
      <c r="BW18" s="430" t="s">
        <v>446</v>
      </c>
      <c r="BX18" s="430" t="s">
        <v>446</v>
      </c>
      <c r="BY18" s="430" t="s">
        <v>446</v>
      </c>
      <c r="BZ18" s="430" t="s">
        <v>446</v>
      </c>
      <c r="CA18" s="430" t="s">
        <v>446</v>
      </c>
      <c r="CB18" s="430" t="s">
        <v>446</v>
      </c>
      <c r="CC18" s="430" t="s">
        <v>446</v>
      </c>
      <c r="CD18" s="430" t="s">
        <v>446</v>
      </c>
      <c r="CE18" s="430" t="s">
        <v>446</v>
      </c>
      <c r="CF18" s="432" t="s">
        <v>281</v>
      </c>
      <c r="CG18" s="430" t="s">
        <v>446</v>
      </c>
      <c r="CH18" s="430" t="s">
        <v>446</v>
      </c>
      <c r="CI18" s="430" t="s">
        <v>446</v>
      </c>
      <c r="CJ18" s="430" t="s">
        <v>446</v>
      </c>
      <c r="CK18" s="430" t="s">
        <v>446</v>
      </c>
      <c r="CL18" s="430" t="s">
        <v>446</v>
      </c>
      <c r="CM18" s="430" t="s">
        <v>446</v>
      </c>
      <c r="CN18" s="430" t="s">
        <v>446</v>
      </c>
      <c r="CO18" s="430" t="s">
        <v>446</v>
      </c>
      <c r="CP18" s="430" t="s">
        <v>446</v>
      </c>
      <c r="CQ18" s="430" t="s">
        <v>446</v>
      </c>
      <c r="CR18" s="430" t="s">
        <v>446</v>
      </c>
      <c r="CS18" s="430" t="s">
        <v>446</v>
      </c>
      <c r="CT18" s="430" t="s">
        <v>446</v>
      </c>
      <c r="CU18" s="430" t="s">
        <v>446</v>
      </c>
      <c r="CV18" s="430" t="s">
        <v>446</v>
      </c>
      <c r="CW18" s="430" t="s">
        <v>446</v>
      </c>
      <c r="CX18" s="430" t="s">
        <v>446</v>
      </c>
      <c r="CY18" s="430" t="s">
        <v>446</v>
      </c>
      <c r="CZ18" s="430" t="s">
        <v>446</v>
      </c>
      <c r="DA18" s="432" t="s">
        <v>281</v>
      </c>
      <c r="DB18" s="430" t="s">
        <v>446</v>
      </c>
      <c r="DC18" s="430" t="s">
        <v>446</v>
      </c>
      <c r="DD18" s="430" t="s">
        <v>446</v>
      </c>
      <c r="DE18" s="430" t="s">
        <v>446</v>
      </c>
      <c r="DF18" s="430" t="s">
        <v>446</v>
      </c>
      <c r="DG18" s="430" t="s">
        <v>446</v>
      </c>
      <c r="DH18" s="430" t="s">
        <v>446</v>
      </c>
      <c r="DI18" s="430" t="s">
        <v>446</v>
      </c>
      <c r="DJ18" s="430" t="s">
        <v>446</v>
      </c>
      <c r="DK18" s="430" t="s">
        <v>446</v>
      </c>
      <c r="DL18" s="430" t="s">
        <v>446</v>
      </c>
      <c r="DM18" s="430" t="s">
        <v>446</v>
      </c>
      <c r="DN18" s="430" t="s">
        <v>446</v>
      </c>
      <c r="DO18" s="430" t="s">
        <v>446</v>
      </c>
      <c r="DP18" s="430" t="s">
        <v>446</v>
      </c>
      <c r="DQ18" s="430" t="s">
        <v>446</v>
      </c>
      <c r="DR18" s="430" t="s">
        <v>446</v>
      </c>
      <c r="DS18" s="430" t="s">
        <v>446</v>
      </c>
      <c r="DT18" s="430" t="s">
        <v>446</v>
      </c>
      <c r="DU18" s="430" t="s">
        <v>446</v>
      </c>
      <c r="DV18" s="432" t="s">
        <v>281</v>
      </c>
      <c r="DW18" s="430" t="s">
        <v>446</v>
      </c>
      <c r="DX18" s="430" t="s">
        <v>446</v>
      </c>
      <c r="DY18" s="430" t="s">
        <v>446</v>
      </c>
      <c r="DZ18" s="430" t="s">
        <v>446</v>
      </c>
      <c r="EA18" s="430" t="s">
        <v>446</v>
      </c>
      <c r="EB18" s="430" t="s">
        <v>446</v>
      </c>
      <c r="EC18" s="430" t="s">
        <v>446</v>
      </c>
      <c r="ED18" s="430" t="s">
        <v>446</v>
      </c>
      <c r="EE18" s="430" t="s">
        <v>446</v>
      </c>
      <c r="EF18" s="430" t="s">
        <v>446</v>
      </c>
      <c r="EG18" s="430" t="s">
        <v>446</v>
      </c>
      <c r="EH18" s="430" t="s">
        <v>446</v>
      </c>
      <c r="EI18" s="430" t="s">
        <v>446</v>
      </c>
      <c r="EJ18" s="430" t="s">
        <v>446</v>
      </c>
      <c r="EK18" s="430" t="s">
        <v>446</v>
      </c>
      <c r="EL18" s="430" t="s">
        <v>446</v>
      </c>
      <c r="EM18" s="430" t="s">
        <v>446</v>
      </c>
      <c r="EN18" s="430" t="s">
        <v>446</v>
      </c>
      <c r="EO18" s="430" t="s">
        <v>446</v>
      </c>
      <c r="EP18" s="430" t="s">
        <v>446</v>
      </c>
      <c r="EQ18" s="432" t="s">
        <v>281</v>
      </c>
      <c r="ER18" s="430" t="s">
        <v>446</v>
      </c>
      <c r="ES18" s="430" t="s">
        <v>446</v>
      </c>
      <c r="ET18" s="430" t="s">
        <v>446</v>
      </c>
      <c r="EU18" s="430" t="s">
        <v>446</v>
      </c>
      <c r="EV18" s="430" t="s">
        <v>446</v>
      </c>
      <c r="EW18" s="430" t="s">
        <v>446</v>
      </c>
      <c r="EX18" s="430" t="s">
        <v>446</v>
      </c>
      <c r="EY18" s="430" t="s">
        <v>446</v>
      </c>
      <c r="EZ18" s="430" t="s">
        <v>446</v>
      </c>
      <c r="FA18" s="430" t="s">
        <v>446</v>
      </c>
      <c r="FB18" s="430" t="s">
        <v>446</v>
      </c>
      <c r="FC18" s="430" t="s">
        <v>446</v>
      </c>
      <c r="FD18" s="430" t="s">
        <v>446</v>
      </c>
      <c r="FE18" s="430" t="s">
        <v>446</v>
      </c>
      <c r="FF18" s="430" t="s">
        <v>446</v>
      </c>
      <c r="FG18" s="430" t="s">
        <v>446</v>
      </c>
      <c r="FH18" s="430" t="s">
        <v>446</v>
      </c>
      <c r="FI18" s="430" t="s">
        <v>446</v>
      </c>
      <c r="FJ18" s="430" t="s">
        <v>446</v>
      </c>
      <c r="FK18" s="430" t="s">
        <v>446</v>
      </c>
      <c r="FL18" s="432" t="s">
        <v>281</v>
      </c>
      <c r="FM18" s="430" t="s">
        <v>446</v>
      </c>
      <c r="FN18" s="430" t="s">
        <v>446</v>
      </c>
      <c r="FO18" s="430" t="s">
        <v>446</v>
      </c>
      <c r="FP18" s="430" t="s">
        <v>446</v>
      </c>
      <c r="FQ18" s="430" t="s">
        <v>446</v>
      </c>
      <c r="FR18" s="430" t="s">
        <v>446</v>
      </c>
      <c r="FS18" s="430" t="s">
        <v>446</v>
      </c>
      <c r="FT18" s="430" t="s">
        <v>446</v>
      </c>
      <c r="FU18" s="430" t="s">
        <v>446</v>
      </c>
      <c r="FV18" s="430" t="s">
        <v>446</v>
      </c>
      <c r="FW18" s="430" t="s">
        <v>446</v>
      </c>
      <c r="FX18" s="430" t="s">
        <v>446</v>
      </c>
      <c r="FY18" s="430" t="s">
        <v>446</v>
      </c>
      <c r="FZ18" s="430" t="s">
        <v>446</v>
      </c>
      <c r="GA18" s="430" t="s">
        <v>446</v>
      </c>
      <c r="GB18" s="430" t="s">
        <v>446</v>
      </c>
      <c r="GC18" s="430" t="s">
        <v>446</v>
      </c>
      <c r="GD18" s="430" t="s">
        <v>446</v>
      </c>
      <c r="GE18" s="430" t="s">
        <v>446</v>
      </c>
      <c r="GF18" s="430" t="s">
        <v>446</v>
      </c>
      <c r="GG18" s="432" t="s">
        <v>281</v>
      </c>
      <c r="GH18" s="430" t="s">
        <v>446</v>
      </c>
      <c r="GI18" s="430" t="s">
        <v>446</v>
      </c>
      <c r="GJ18" s="430" t="s">
        <v>446</v>
      </c>
      <c r="GK18" s="430" t="s">
        <v>446</v>
      </c>
      <c r="GL18" s="430" t="s">
        <v>446</v>
      </c>
      <c r="GM18" s="430" t="s">
        <v>446</v>
      </c>
      <c r="GN18" s="430" t="s">
        <v>446</v>
      </c>
      <c r="GO18" s="430" t="s">
        <v>446</v>
      </c>
      <c r="GP18" s="430" t="s">
        <v>446</v>
      </c>
      <c r="GQ18" s="430" t="s">
        <v>446</v>
      </c>
      <c r="GR18" s="430" t="s">
        <v>446</v>
      </c>
      <c r="GS18" s="430" t="s">
        <v>446</v>
      </c>
      <c r="GT18" s="430" t="s">
        <v>446</v>
      </c>
      <c r="GU18" s="430" t="s">
        <v>446</v>
      </c>
      <c r="GV18" s="430" t="s">
        <v>446</v>
      </c>
      <c r="GW18" s="430" t="s">
        <v>446</v>
      </c>
      <c r="GX18" s="430" t="s">
        <v>446</v>
      </c>
      <c r="GY18" s="430" t="s">
        <v>446</v>
      </c>
      <c r="GZ18" s="430" t="s">
        <v>446</v>
      </c>
      <c r="HA18" s="430" t="s">
        <v>446</v>
      </c>
      <c r="HB18" s="432" t="s">
        <v>281</v>
      </c>
      <c r="HC18" s="430" t="s">
        <v>446</v>
      </c>
      <c r="HD18" s="430" t="s">
        <v>446</v>
      </c>
      <c r="HE18" s="430" t="s">
        <v>446</v>
      </c>
      <c r="HF18" s="430" t="s">
        <v>446</v>
      </c>
      <c r="HG18" s="430" t="s">
        <v>446</v>
      </c>
      <c r="HH18" s="430" t="s">
        <v>446</v>
      </c>
      <c r="HI18" s="430" t="s">
        <v>446</v>
      </c>
      <c r="HJ18" s="430" t="s">
        <v>446</v>
      </c>
      <c r="HK18" s="430" t="s">
        <v>446</v>
      </c>
      <c r="HL18" s="430" t="s">
        <v>446</v>
      </c>
      <c r="HM18" s="430" t="s">
        <v>446</v>
      </c>
      <c r="HN18" s="430" t="s">
        <v>446</v>
      </c>
      <c r="HO18" s="430" t="s">
        <v>446</v>
      </c>
      <c r="HP18" s="430" t="s">
        <v>446</v>
      </c>
      <c r="HQ18" s="430" t="s">
        <v>446</v>
      </c>
      <c r="HR18" s="430" t="s">
        <v>446</v>
      </c>
      <c r="HS18" s="430" t="s">
        <v>446</v>
      </c>
      <c r="HT18" s="430" t="s">
        <v>446</v>
      </c>
      <c r="HU18" s="430" t="s">
        <v>446</v>
      </c>
      <c r="HV18" s="430" t="s">
        <v>446</v>
      </c>
      <c r="HW18" s="432" t="s">
        <v>281</v>
      </c>
      <c r="HX18" s="430" t="s">
        <v>446</v>
      </c>
      <c r="HY18" s="430" t="s">
        <v>446</v>
      </c>
      <c r="HZ18" s="430" t="s">
        <v>446</v>
      </c>
      <c r="IA18" s="430" t="s">
        <v>446</v>
      </c>
      <c r="IB18" s="430" t="s">
        <v>446</v>
      </c>
      <c r="IC18" s="430" t="s">
        <v>446</v>
      </c>
      <c r="ID18" s="430" t="s">
        <v>446</v>
      </c>
      <c r="IE18" s="430" t="s">
        <v>446</v>
      </c>
      <c r="IF18" s="430" t="s">
        <v>446</v>
      </c>
      <c r="IG18" s="430" t="s">
        <v>446</v>
      </c>
      <c r="IH18" s="430" t="s">
        <v>446</v>
      </c>
      <c r="II18" s="430" t="s">
        <v>446</v>
      </c>
      <c r="IJ18" s="430" t="s">
        <v>446</v>
      </c>
      <c r="IK18" s="430" t="s">
        <v>446</v>
      </c>
      <c r="IL18" s="430" t="s">
        <v>446</v>
      </c>
      <c r="IM18" s="430" t="s">
        <v>446</v>
      </c>
      <c r="IN18" s="430" t="s">
        <v>446</v>
      </c>
      <c r="IO18" s="430" t="s">
        <v>446</v>
      </c>
      <c r="IP18" s="430" t="s">
        <v>446</v>
      </c>
      <c r="IQ18" s="430" t="s">
        <v>446</v>
      </c>
      <c r="IR18" s="432" t="s">
        <v>281</v>
      </c>
      <c r="IS18" s="430" t="s">
        <v>446</v>
      </c>
      <c r="IT18" s="430" t="s">
        <v>446</v>
      </c>
      <c r="IU18" s="430" t="s">
        <v>446</v>
      </c>
      <c r="IV18" s="430" t="s">
        <v>446</v>
      </c>
      <c r="IW18" s="430" t="s">
        <v>446</v>
      </c>
      <c r="IX18" s="430" t="s">
        <v>446</v>
      </c>
      <c r="IY18" s="430" t="s">
        <v>446</v>
      </c>
      <c r="IZ18" s="430" t="s">
        <v>446</v>
      </c>
      <c r="JA18" s="430" t="s">
        <v>446</v>
      </c>
      <c r="JB18" s="430" t="s">
        <v>446</v>
      </c>
      <c r="JC18" s="430" t="s">
        <v>446</v>
      </c>
      <c r="JD18" s="430" t="s">
        <v>446</v>
      </c>
      <c r="JE18" s="430" t="s">
        <v>446</v>
      </c>
      <c r="JF18" s="430" t="s">
        <v>446</v>
      </c>
      <c r="JG18" s="430" t="s">
        <v>446</v>
      </c>
      <c r="JH18" s="430" t="s">
        <v>446</v>
      </c>
      <c r="JI18" s="430" t="s">
        <v>446</v>
      </c>
      <c r="JJ18" s="430" t="s">
        <v>446</v>
      </c>
      <c r="JK18" s="430" t="s">
        <v>446</v>
      </c>
      <c r="JL18" s="430" t="s">
        <v>446</v>
      </c>
      <c r="JM18" s="432" t="s">
        <v>281</v>
      </c>
      <c r="JN18" s="430" t="s">
        <v>446</v>
      </c>
      <c r="JO18" s="430" t="s">
        <v>446</v>
      </c>
      <c r="JP18" s="430" t="s">
        <v>446</v>
      </c>
      <c r="JQ18" s="430" t="s">
        <v>446</v>
      </c>
      <c r="JR18" s="430" t="s">
        <v>446</v>
      </c>
      <c r="JS18" s="430" t="s">
        <v>446</v>
      </c>
      <c r="JT18" s="430" t="s">
        <v>446</v>
      </c>
      <c r="JU18" s="430" t="s">
        <v>446</v>
      </c>
      <c r="JV18" s="430" t="s">
        <v>446</v>
      </c>
      <c r="JW18" s="430" t="s">
        <v>446</v>
      </c>
      <c r="JX18" s="430" t="s">
        <v>446</v>
      </c>
      <c r="JY18" s="430" t="s">
        <v>446</v>
      </c>
      <c r="JZ18" s="430" t="s">
        <v>446</v>
      </c>
      <c r="KA18" s="430" t="s">
        <v>446</v>
      </c>
      <c r="KB18" s="430" t="s">
        <v>446</v>
      </c>
      <c r="KC18" s="430" t="s">
        <v>446</v>
      </c>
      <c r="KD18" s="430" t="s">
        <v>446</v>
      </c>
      <c r="KE18" s="430" t="s">
        <v>446</v>
      </c>
      <c r="KF18" s="430" t="s">
        <v>446</v>
      </c>
      <c r="KG18" s="430" t="s">
        <v>446</v>
      </c>
      <c r="KH18" s="432" t="s">
        <v>281</v>
      </c>
      <c r="KI18" s="430" t="s">
        <v>446</v>
      </c>
      <c r="KJ18" s="430" t="s">
        <v>446</v>
      </c>
      <c r="KK18" s="430" t="s">
        <v>446</v>
      </c>
      <c r="KL18" s="430" t="s">
        <v>446</v>
      </c>
      <c r="KM18" s="430" t="s">
        <v>446</v>
      </c>
      <c r="KN18" s="430" t="s">
        <v>446</v>
      </c>
      <c r="KO18" s="430" t="s">
        <v>446</v>
      </c>
      <c r="KP18" s="430" t="s">
        <v>446</v>
      </c>
      <c r="KQ18" s="430" t="s">
        <v>446</v>
      </c>
      <c r="KR18" s="430" t="s">
        <v>446</v>
      </c>
      <c r="KS18" s="430" t="s">
        <v>446</v>
      </c>
      <c r="KT18" s="430" t="s">
        <v>446</v>
      </c>
      <c r="KU18" s="430" t="s">
        <v>446</v>
      </c>
      <c r="KV18" s="430" t="s">
        <v>446</v>
      </c>
      <c r="KW18" s="430" t="s">
        <v>446</v>
      </c>
      <c r="KX18" s="430" t="s">
        <v>446</v>
      </c>
      <c r="KY18" s="430" t="s">
        <v>446</v>
      </c>
      <c r="KZ18" s="430" t="s">
        <v>446</v>
      </c>
      <c r="LA18" s="430" t="s">
        <v>446</v>
      </c>
      <c r="LB18" s="430" t="s">
        <v>446</v>
      </c>
      <c r="LC18" s="432" t="s">
        <v>281</v>
      </c>
      <c r="LD18" s="430" t="s">
        <v>446</v>
      </c>
      <c r="LE18" s="430" t="s">
        <v>446</v>
      </c>
      <c r="LF18" s="430" t="s">
        <v>446</v>
      </c>
      <c r="LG18" s="430" t="s">
        <v>446</v>
      </c>
      <c r="LH18" s="430" t="s">
        <v>446</v>
      </c>
      <c r="LI18" s="430" t="s">
        <v>446</v>
      </c>
      <c r="LJ18" s="430" t="s">
        <v>446</v>
      </c>
      <c r="LK18" s="430" t="s">
        <v>446</v>
      </c>
      <c r="LL18" s="430" t="s">
        <v>446</v>
      </c>
      <c r="LM18" s="430" t="s">
        <v>446</v>
      </c>
      <c r="LN18" s="430" t="s">
        <v>446</v>
      </c>
      <c r="LO18" s="430" t="s">
        <v>446</v>
      </c>
      <c r="LP18" s="430" t="s">
        <v>446</v>
      </c>
      <c r="LQ18" s="430" t="s">
        <v>446</v>
      </c>
      <c r="LR18" s="430" t="s">
        <v>446</v>
      </c>
      <c r="LS18" s="430" t="s">
        <v>446</v>
      </c>
      <c r="LT18" s="430" t="s">
        <v>446</v>
      </c>
      <c r="LU18" s="430" t="s">
        <v>446</v>
      </c>
      <c r="LV18" s="430" t="s">
        <v>446</v>
      </c>
      <c r="LW18" s="430" t="s">
        <v>446</v>
      </c>
      <c r="LX18" s="432" t="s">
        <v>281</v>
      </c>
      <c r="LY18" s="430" t="s">
        <v>446</v>
      </c>
      <c r="LZ18" s="430" t="s">
        <v>446</v>
      </c>
      <c r="MA18" s="430" t="s">
        <v>446</v>
      </c>
      <c r="MB18" s="430" t="s">
        <v>446</v>
      </c>
      <c r="MC18" s="430" t="s">
        <v>446</v>
      </c>
      <c r="MD18" s="430" t="s">
        <v>446</v>
      </c>
      <c r="ME18" s="430" t="s">
        <v>446</v>
      </c>
      <c r="MF18" s="430" t="s">
        <v>446</v>
      </c>
      <c r="MG18" s="430" t="s">
        <v>446</v>
      </c>
      <c r="MH18" s="430" t="s">
        <v>446</v>
      </c>
      <c r="MI18" s="430" t="s">
        <v>446</v>
      </c>
      <c r="MJ18" s="430" t="s">
        <v>446</v>
      </c>
      <c r="MK18" s="430" t="s">
        <v>446</v>
      </c>
      <c r="ML18" s="430" t="s">
        <v>446</v>
      </c>
      <c r="MM18" s="430" t="s">
        <v>446</v>
      </c>
      <c r="MN18" s="430" t="s">
        <v>446</v>
      </c>
      <c r="MO18" s="430" t="s">
        <v>446</v>
      </c>
      <c r="MP18" s="430" t="s">
        <v>446</v>
      </c>
      <c r="MQ18" s="430" t="s">
        <v>446</v>
      </c>
      <c r="MR18" s="430" t="s">
        <v>446</v>
      </c>
      <c r="MS18" s="430" t="s">
        <v>446</v>
      </c>
      <c r="MT18" s="430" t="s">
        <v>446</v>
      </c>
      <c r="MU18" s="430" t="s">
        <v>446</v>
      </c>
      <c r="MV18" s="430" t="s">
        <v>446</v>
      </c>
      <c r="MW18" s="430" t="s">
        <v>446</v>
      </c>
      <c r="MX18" s="430" t="s">
        <v>446</v>
      </c>
      <c r="MY18" s="430" t="s">
        <v>446</v>
      </c>
      <c r="MZ18" s="430" t="s">
        <v>446</v>
      </c>
      <c r="NA18" s="430" t="s">
        <v>446</v>
      </c>
      <c r="NB18" s="430" t="s">
        <v>446</v>
      </c>
      <c r="NC18" s="430" t="s">
        <v>446</v>
      </c>
      <c r="ND18" s="430" t="s">
        <v>446</v>
      </c>
      <c r="NE18" s="430" t="s">
        <v>446</v>
      </c>
      <c r="NF18" s="430" t="s">
        <v>446</v>
      </c>
      <c r="NG18" s="430" t="s">
        <v>446</v>
      </c>
      <c r="NH18" s="430" t="s">
        <v>446</v>
      </c>
      <c r="NI18" s="430" t="s">
        <v>446</v>
      </c>
      <c r="NJ18" s="430" t="s">
        <v>446</v>
      </c>
      <c r="NK18" s="430" t="s">
        <v>446</v>
      </c>
      <c r="NL18" s="430" t="s">
        <v>446</v>
      </c>
      <c r="NM18" s="430" t="s">
        <v>446</v>
      </c>
      <c r="NN18" s="430" t="s">
        <v>446</v>
      </c>
      <c r="NO18" s="430" t="s">
        <v>446</v>
      </c>
      <c r="NP18" s="430" t="s">
        <v>446</v>
      </c>
      <c r="NQ18" s="430" t="s">
        <v>446</v>
      </c>
      <c r="NR18" s="430" t="s">
        <v>446</v>
      </c>
      <c r="NS18" s="430" t="s">
        <v>446</v>
      </c>
      <c r="NT18" s="430" t="s">
        <v>446</v>
      </c>
      <c r="NU18" s="430" t="s">
        <v>446</v>
      </c>
      <c r="NV18" s="430" t="s">
        <v>446</v>
      </c>
      <c r="NW18" s="430" t="s">
        <v>446</v>
      </c>
      <c r="NX18" s="430" t="s">
        <v>446</v>
      </c>
      <c r="NY18" s="430" t="s">
        <v>446</v>
      </c>
      <c r="NZ18" s="430" t="s">
        <v>446</v>
      </c>
      <c r="OA18" s="430" t="s">
        <v>446</v>
      </c>
      <c r="OB18" s="430" t="s">
        <v>446</v>
      </c>
      <c r="OC18" s="430" t="s">
        <v>446</v>
      </c>
      <c r="OD18" s="430" t="s">
        <v>446</v>
      </c>
      <c r="OE18" s="430" t="s">
        <v>446</v>
      </c>
      <c r="OF18" s="430" t="s">
        <v>446</v>
      </c>
      <c r="OG18" s="430" t="s">
        <v>446</v>
      </c>
      <c r="OH18" s="430" t="s">
        <v>446</v>
      </c>
      <c r="OI18" s="430" t="s">
        <v>446</v>
      </c>
      <c r="OJ18" s="430" t="s">
        <v>446</v>
      </c>
      <c r="OK18" s="430" t="s">
        <v>446</v>
      </c>
      <c r="OL18" s="430" t="s">
        <v>446</v>
      </c>
      <c r="OM18" s="430" t="s">
        <v>446</v>
      </c>
      <c r="ON18" s="430" t="s">
        <v>446</v>
      </c>
      <c r="OO18" s="430" t="s">
        <v>446</v>
      </c>
      <c r="OP18" s="430" t="s">
        <v>446</v>
      </c>
      <c r="OQ18" s="430" t="s">
        <v>446</v>
      </c>
      <c r="OR18" s="430" t="s">
        <v>446</v>
      </c>
      <c r="OS18" s="430" t="s">
        <v>446</v>
      </c>
      <c r="OT18" s="430" t="s">
        <v>446</v>
      </c>
      <c r="OU18" s="430" t="s">
        <v>446</v>
      </c>
      <c r="OV18" s="430" t="s">
        <v>446</v>
      </c>
      <c r="OW18" s="430" t="s">
        <v>446</v>
      </c>
      <c r="OX18" s="430" t="s">
        <v>446</v>
      </c>
      <c r="OY18" s="430" t="s">
        <v>446</v>
      </c>
      <c r="OZ18" s="430" t="s">
        <v>446</v>
      </c>
      <c r="PA18" s="430" t="s">
        <v>446</v>
      </c>
      <c r="PB18" s="430" t="s">
        <v>446</v>
      </c>
      <c r="PC18" s="430" t="s">
        <v>446</v>
      </c>
      <c r="PD18" s="430" t="s">
        <v>446</v>
      </c>
      <c r="PE18" s="430" t="s">
        <v>446</v>
      </c>
      <c r="PF18" s="430" t="s">
        <v>446</v>
      </c>
      <c r="PG18" s="430" t="s">
        <v>446</v>
      </c>
      <c r="PH18" s="430" t="s">
        <v>446</v>
      </c>
      <c r="PI18" s="430" t="s">
        <v>446</v>
      </c>
      <c r="PJ18" s="430" t="s">
        <v>446</v>
      </c>
      <c r="PK18" s="430" t="s">
        <v>446</v>
      </c>
      <c r="PL18" s="430" t="s">
        <v>446</v>
      </c>
      <c r="PM18" s="430" t="s">
        <v>446</v>
      </c>
      <c r="PN18" s="430" t="s">
        <v>446</v>
      </c>
      <c r="PO18" s="430" t="s">
        <v>446</v>
      </c>
      <c r="PP18" s="430" t="s">
        <v>446</v>
      </c>
      <c r="PQ18" s="430" t="s">
        <v>446</v>
      </c>
      <c r="PR18" s="430" t="s">
        <v>446</v>
      </c>
      <c r="PS18" s="430" t="s">
        <v>446</v>
      </c>
      <c r="PT18" s="430" t="s">
        <v>446</v>
      </c>
      <c r="PU18" s="430" t="s">
        <v>446</v>
      </c>
      <c r="PV18" s="430" t="s">
        <v>446</v>
      </c>
      <c r="PW18" s="430" t="s">
        <v>446</v>
      </c>
      <c r="PX18" s="430" t="s">
        <v>446</v>
      </c>
      <c r="PY18" s="430" t="s">
        <v>446</v>
      </c>
      <c r="PZ18" s="430" t="s">
        <v>446</v>
      </c>
      <c r="QA18" s="430" t="s">
        <v>446</v>
      </c>
      <c r="QB18" s="430" t="s">
        <v>446</v>
      </c>
      <c r="QC18" s="430" t="s">
        <v>446</v>
      </c>
      <c r="QD18" s="430" t="s">
        <v>446</v>
      </c>
      <c r="QE18" s="430" t="s">
        <v>446</v>
      </c>
      <c r="QF18" s="430" t="s">
        <v>446</v>
      </c>
      <c r="QG18" s="430" t="s">
        <v>446</v>
      </c>
      <c r="QH18" s="430" t="s">
        <v>446</v>
      </c>
      <c r="QI18" s="430" t="s">
        <v>446</v>
      </c>
      <c r="QJ18" s="430" t="s">
        <v>446</v>
      </c>
      <c r="QK18" s="430" t="s">
        <v>446</v>
      </c>
      <c r="QL18" s="430" t="s">
        <v>446</v>
      </c>
      <c r="QM18" s="430" t="s">
        <v>446</v>
      </c>
      <c r="QN18" s="430" t="s">
        <v>446</v>
      </c>
      <c r="QO18" s="442" t="s">
        <v>446</v>
      </c>
    </row>
    <row r="19" spans="1:457" ht="30" customHeight="1" x14ac:dyDescent="0.25">
      <c r="A19" s="431" t="str">
        <f>Salas!A18</f>
        <v>I - Laboratório de Hidraúlica</v>
      </c>
      <c r="B19" s="429" t="s">
        <v>446</v>
      </c>
      <c r="C19" s="430" t="s">
        <v>446</v>
      </c>
      <c r="D19" s="430" t="s">
        <v>446</v>
      </c>
      <c r="E19" s="430" t="s">
        <v>446</v>
      </c>
      <c r="F19" s="430" t="s">
        <v>446</v>
      </c>
      <c r="G19" s="430" t="s">
        <v>446</v>
      </c>
      <c r="H19" s="430" t="s">
        <v>446</v>
      </c>
      <c r="I19" s="430" t="s">
        <v>446</v>
      </c>
      <c r="J19" s="430" t="s">
        <v>446</v>
      </c>
      <c r="K19" s="430" t="s">
        <v>446</v>
      </c>
      <c r="L19" s="430" t="s">
        <v>446</v>
      </c>
      <c r="M19" s="430" t="s">
        <v>446</v>
      </c>
      <c r="N19" s="430" t="s">
        <v>446</v>
      </c>
      <c r="O19" s="430" t="s">
        <v>446</v>
      </c>
      <c r="P19" s="430" t="s">
        <v>446</v>
      </c>
      <c r="Q19" s="430" t="s">
        <v>446</v>
      </c>
      <c r="R19" s="430" t="s">
        <v>446</v>
      </c>
      <c r="S19" s="430" t="s">
        <v>446</v>
      </c>
      <c r="T19" s="430" t="s">
        <v>446</v>
      </c>
      <c r="U19" s="430" t="s">
        <v>446</v>
      </c>
      <c r="V19" s="430" t="s">
        <v>446</v>
      </c>
      <c r="W19" s="430" t="s">
        <v>446</v>
      </c>
      <c r="X19" s="430" t="s">
        <v>446</v>
      </c>
      <c r="Y19" s="430" t="s">
        <v>446</v>
      </c>
      <c r="Z19" s="430" t="s">
        <v>446</v>
      </c>
      <c r="AA19" s="430" t="s">
        <v>446</v>
      </c>
      <c r="AB19" s="430" t="s">
        <v>446</v>
      </c>
      <c r="AC19" s="430" t="s">
        <v>446</v>
      </c>
      <c r="AD19" s="430" t="s">
        <v>446</v>
      </c>
      <c r="AE19" s="430" t="s">
        <v>446</v>
      </c>
      <c r="AF19" s="430" t="s">
        <v>446</v>
      </c>
      <c r="AG19" s="430" t="s">
        <v>446</v>
      </c>
      <c r="AH19" s="430" t="s">
        <v>446</v>
      </c>
      <c r="AI19" s="430" t="s">
        <v>446</v>
      </c>
      <c r="AJ19" s="430" t="s">
        <v>446</v>
      </c>
      <c r="AK19" s="430" t="s">
        <v>446</v>
      </c>
      <c r="AL19" s="430" t="s">
        <v>446</v>
      </c>
      <c r="AM19" s="430" t="s">
        <v>446</v>
      </c>
      <c r="AN19" s="430" t="s">
        <v>446</v>
      </c>
      <c r="AO19" s="430" t="s">
        <v>446</v>
      </c>
      <c r="AP19" s="430" t="s">
        <v>446</v>
      </c>
      <c r="AQ19" s="430" t="s">
        <v>446</v>
      </c>
      <c r="AR19" s="430" t="s">
        <v>446</v>
      </c>
      <c r="AS19" s="430" t="s">
        <v>446</v>
      </c>
      <c r="AT19" s="430" t="s">
        <v>446</v>
      </c>
      <c r="AU19" s="430" t="s">
        <v>446</v>
      </c>
      <c r="AV19" s="430" t="s">
        <v>446</v>
      </c>
      <c r="AW19" s="430" t="s">
        <v>446</v>
      </c>
      <c r="AX19" s="430" t="s">
        <v>446</v>
      </c>
      <c r="AY19" s="430" t="s">
        <v>446</v>
      </c>
      <c r="AZ19" s="430" t="s">
        <v>446</v>
      </c>
      <c r="BA19" s="430" t="s">
        <v>446</v>
      </c>
      <c r="BB19" s="430" t="s">
        <v>446</v>
      </c>
      <c r="BC19" s="430" t="s">
        <v>446</v>
      </c>
      <c r="BD19" s="430" t="s">
        <v>446</v>
      </c>
      <c r="BE19" s="430" t="s">
        <v>446</v>
      </c>
      <c r="BF19" s="430" t="s">
        <v>446</v>
      </c>
      <c r="BG19" s="430" t="s">
        <v>446</v>
      </c>
      <c r="BH19" s="430" t="s">
        <v>446</v>
      </c>
      <c r="BI19" s="430" t="s">
        <v>446</v>
      </c>
      <c r="BJ19" s="430" t="s">
        <v>446</v>
      </c>
      <c r="BK19" s="430" t="s">
        <v>446</v>
      </c>
      <c r="BL19" s="430" t="s">
        <v>446</v>
      </c>
      <c r="BM19" s="430" t="s">
        <v>446</v>
      </c>
      <c r="BN19" s="430" t="s">
        <v>446</v>
      </c>
      <c r="BO19" s="430" t="s">
        <v>446</v>
      </c>
      <c r="BP19" s="430" t="s">
        <v>446</v>
      </c>
      <c r="BQ19" s="430" t="s">
        <v>446</v>
      </c>
      <c r="BR19" s="430" t="s">
        <v>446</v>
      </c>
      <c r="BS19" s="430" t="s">
        <v>446</v>
      </c>
      <c r="BT19" s="430" t="s">
        <v>446</v>
      </c>
      <c r="BU19" s="430" t="s">
        <v>446</v>
      </c>
      <c r="BV19" s="430" t="s">
        <v>446</v>
      </c>
      <c r="BW19" s="430" t="s">
        <v>446</v>
      </c>
      <c r="BX19" s="430" t="s">
        <v>446</v>
      </c>
      <c r="BY19" s="430" t="s">
        <v>446</v>
      </c>
      <c r="BZ19" s="430" t="s">
        <v>446</v>
      </c>
      <c r="CA19" s="430" t="s">
        <v>446</v>
      </c>
      <c r="CB19" s="430" t="s">
        <v>446</v>
      </c>
      <c r="CC19" s="430" t="s">
        <v>446</v>
      </c>
      <c r="CD19" s="430" t="s">
        <v>446</v>
      </c>
      <c r="CE19" s="430" t="s">
        <v>446</v>
      </c>
      <c r="CF19" s="430" t="s">
        <v>446</v>
      </c>
      <c r="CG19" s="430" t="s">
        <v>446</v>
      </c>
      <c r="CH19" s="430" t="s">
        <v>446</v>
      </c>
      <c r="CI19" s="430" t="s">
        <v>446</v>
      </c>
      <c r="CJ19" s="430" t="s">
        <v>446</v>
      </c>
      <c r="CK19" s="430" t="s">
        <v>446</v>
      </c>
      <c r="CL19" s="430" t="s">
        <v>446</v>
      </c>
      <c r="CM19" s="430" t="s">
        <v>446</v>
      </c>
      <c r="CN19" s="430" t="s">
        <v>446</v>
      </c>
      <c r="CO19" s="430" t="s">
        <v>446</v>
      </c>
      <c r="CP19" s="430" t="s">
        <v>446</v>
      </c>
      <c r="CQ19" s="430" t="s">
        <v>446</v>
      </c>
      <c r="CR19" s="430" t="s">
        <v>446</v>
      </c>
      <c r="CS19" s="430" t="s">
        <v>446</v>
      </c>
      <c r="CT19" s="430" t="s">
        <v>446</v>
      </c>
      <c r="CU19" s="430" t="s">
        <v>446</v>
      </c>
      <c r="CV19" s="430" t="s">
        <v>446</v>
      </c>
      <c r="CW19" s="430" t="s">
        <v>446</v>
      </c>
      <c r="CX19" s="430" t="s">
        <v>446</v>
      </c>
      <c r="CY19" s="430" t="s">
        <v>446</v>
      </c>
      <c r="CZ19" s="430" t="s">
        <v>446</v>
      </c>
      <c r="DA19" s="430" t="s">
        <v>446</v>
      </c>
      <c r="DB19" s="430" t="s">
        <v>446</v>
      </c>
      <c r="DC19" s="430" t="s">
        <v>446</v>
      </c>
      <c r="DD19" s="430" t="s">
        <v>446</v>
      </c>
      <c r="DE19" s="430" t="s">
        <v>446</v>
      </c>
      <c r="DF19" s="430" t="s">
        <v>446</v>
      </c>
      <c r="DG19" s="430" t="s">
        <v>446</v>
      </c>
      <c r="DH19" s="430" t="s">
        <v>446</v>
      </c>
      <c r="DI19" s="430" t="s">
        <v>446</v>
      </c>
      <c r="DJ19" s="430" t="s">
        <v>446</v>
      </c>
      <c r="DK19" s="430" t="s">
        <v>446</v>
      </c>
      <c r="DL19" s="430" t="s">
        <v>446</v>
      </c>
      <c r="DM19" s="430" t="s">
        <v>446</v>
      </c>
      <c r="DN19" s="430" t="s">
        <v>446</v>
      </c>
      <c r="DO19" s="430" t="s">
        <v>446</v>
      </c>
      <c r="DP19" s="430" t="s">
        <v>446</v>
      </c>
      <c r="DQ19" s="430" t="s">
        <v>446</v>
      </c>
      <c r="DR19" s="430" t="s">
        <v>446</v>
      </c>
      <c r="DS19" s="430" t="s">
        <v>446</v>
      </c>
      <c r="DT19" s="430" t="s">
        <v>446</v>
      </c>
      <c r="DU19" s="430" t="s">
        <v>446</v>
      </c>
      <c r="DV19" s="430" t="s">
        <v>446</v>
      </c>
      <c r="DW19" s="430" t="s">
        <v>446</v>
      </c>
      <c r="DX19" s="430" t="s">
        <v>446</v>
      </c>
      <c r="DY19" s="430" t="s">
        <v>446</v>
      </c>
      <c r="DZ19" s="430" t="s">
        <v>446</v>
      </c>
      <c r="EA19" s="430" t="s">
        <v>446</v>
      </c>
      <c r="EB19" s="430" t="s">
        <v>446</v>
      </c>
      <c r="EC19" s="430" t="s">
        <v>446</v>
      </c>
      <c r="ED19" s="430" t="s">
        <v>446</v>
      </c>
      <c r="EE19" s="430" t="s">
        <v>446</v>
      </c>
      <c r="EF19" s="430" t="s">
        <v>446</v>
      </c>
      <c r="EG19" s="430" t="s">
        <v>446</v>
      </c>
      <c r="EH19" s="430" t="s">
        <v>446</v>
      </c>
      <c r="EI19" s="430" t="s">
        <v>446</v>
      </c>
      <c r="EJ19" s="430" t="s">
        <v>446</v>
      </c>
      <c r="EK19" s="430" t="s">
        <v>446</v>
      </c>
      <c r="EL19" s="430" t="s">
        <v>446</v>
      </c>
      <c r="EM19" s="430" t="s">
        <v>446</v>
      </c>
      <c r="EN19" s="430" t="s">
        <v>446</v>
      </c>
      <c r="EO19" s="430" t="s">
        <v>446</v>
      </c>
      <c r="EP19" s="430" t="s">
        <v>446</v>
      </c>
      <c r="EQ19" s="430" t="s">
        <v>446</v>
      </c>
      <c r="ER19" s="430" t="s">
        <v>446</v>
      </c>
      <c r="ES19" s="430" t="s">
        <v>446</v>
      </c>
      <c r="ET19" s="430" t="s">
        <v>446</v>
      </c>
      <c r="EU19" s="430" t="s">
        <v>446</v>
      </c>
      <c r="EV19" s="430" t="s">
        <v>446</v>
      </c>
      <c r="EW19" s="430" t="s">
        <v>446</v>
      </c>
      <c r="EX19" s="430" t="s">
        <v>446</v>
      </c>
      <c r="EY19" s="430" t="s">
        <v>446</v>
      </c>
      <c r="EZ19" s="430" t="s">
        <v>446</v>
      </c>
      <c r="FA19" s="430" t="s">
        <v>446</v>
      </c>
      <c r="FB19" s="430" t="s">
        <v>446</v>
      </c>
      <c r="FC19" s="430" t="s">
        <v>446</v>
      </c>
      <c r="FD19" s="430" t="s">
        <v>446</v>
      </c>
      <c r="FE19" s="430" t="s">
        <v>446</v>
      </c>
      <c r="FF19" s="430" t="s">
        <v>446</v>
      </c>
      <c r="FG19" s="430" t="s">
        <v>446</v>
      </c>
      <c r="FH19" s="430" t="s">
        <v>446</v>
      </c>
      <c r="FI19" s="430" t="s">
        <v>446</v>
      </c>
      <c r="FJ19" s="430" t="s">
        <v>446</v>
      </c>
      <c r="FK19" s="430" t="s">
        <v>446</v>
      </c>
      <c r="FL19" s="430" t="s">
        <v>446</v>
      </c>
      <c r="FM19" s="430" t="s">
        <v>446</v>
      </c>
      <c r="FN19" s="430" t="s">
        <v>446</v>
      </c>
      <c r="FO19" s="430" t="s">
        <v>446</v>
      </c>
      <c r="FP19" s="430" t="s">
        <v>446</v>
      </c>
      <c r="FQ19" s="430" t="s">
        <v>446</v>
      </c>
      <c r="FR19" s="430" t="s">
        <v>446</v>
      </c>
      <c r="FS19" s="430" t="s">
        <v>446</v>
      </c>
      <c r="FT19" s="430" t="s">
        <v>446</v>
      </c>
      <c r="FU19" s="430" t="s">
        <v>446</v>
      </c>
      <c r="FV19" s="430" t="s">
        <v>446</v>
      </c>
      <c r="FW19" s="430" t="s">
        <v>446</v>
      </c>
      <c r="FX19" s="430" t="s">
        <v>446</v>
      </c>
      <c r="FY19" s="430" t="s">
        <v>446</v>
      </c>
      <c r="FZ19" s="430" t="s">
        <v>446</v>
      </c>
      <c r="GA19" s="430" t="s">
        <v>446</v>
      </c>
      <c r="GB19" s="430" t="s">
        <v>446</v>
      </c>
      <c r="GC19" s="430" t="s">
        <v>446</v>
      </c>
      <c r="GD19" s="430" t="s">
        <v>446</v>
      </c>
      <c r="GE19" s="430" t="s">
        <v>446</v>
      </c>
      <c r="GF19" s="430" t="s">
        <v>446</v>
      </c>
      <c r="GG19" s="430" t="s">
        <v>446</v>
      </c>
      <c r="GH19" s="430" t="s">
        <v>446</v>
      </c>
      <c r="GI19" s="430" t="s">
        <v>446</v>
      </c>
      <c r="GJ19" s="430" t="s">
        <v>446</v>
      </c>
      <c r="GK19" s="430" t="s">
        <v>446</v>
      </c>
      <c r="GL19" s="430" t="s">
        <v>446</v>
      </c>
      <c r="GM19" s="430" t="s">
        <v>446</v>
      </c>
      <c r="GN19" s="430" t="s">
        <v>446</v>
      </c>
      <c r="GO19" s="430" t="s">
        <v>446</v>
      </c>
      <c r="GP19" s="430" t="s">
        <v>446</v>
      </c>
      <c r="GQ19" s="430" t="s">
        <v>446</v>
      </c>
      <c r="GR19" s="430" t="s">
        <v>446</v>
      </c>
      <c r="GS19" s="430" t="s">
        <v>446</v>
      </c>
      <c r="GT19" s="430" t="s">
        <v>446</v>
      </c>
      <c r="GU19" s="430" t="s">
        <v>446</v>
      </c>
      <c r="GV19" s="430" t="s">
        <v>446</v>
      </c>
      <c r="GW19" s="430" t="s">
        <v>446</v>
      </c>
      <c r="GX19" s="430" t="s">
        <v>446</v>
      </c>
      <c r="GY19" s="430" t="s">
        <v>446</v>
      </c>
      <c r="GZ19" s="430" t="s">
        <v>446</v>
      </c>
      <c r="HA19" s="430" t="s">
        <v>446</v>
      </c>
      <c r="HB19" s="430" t="s">
        <v>446</v>
      </c>
      <c r="HC19" s="430" t="s">
        <v>446</v>
      </c>
      <c r="HD19" s="430" t="s">
        <v>446</v>
      </c>
      <c r="HE19" s="430" t="s">
        <v>446</v>
      </c>
      <c r="HF19" s="430" t="s">
        <v>446</v>
      </c>
      <c r="HG19" s="430" t="s">
        <v>446</v>
      </c>
      <c r="HH19" s="430" t="s">
        <v>446</v>
      </c>
      <c r="HI19" s="430" t="s">
        <v>446</v>
      </c>
      <c r="HJ19" s="430" t="s">
        <v>446</v>
      </c>
      <c r="HK19" s="430" t="s">
        <v>446</v>
      </c>
      <c r="HL19" s="430" t="s">
        <v>446</v>
      </c>
      <c r="HM19" s="430" t="s">
        <v>446</v>
      </c>
      <c r="HN19" s="430" t="s">
        <v>446</v>
      </c>
      <c r="HO19" s="430" t="s">
        <v>446</v>
      </c>
      <c r="HP19" s="430" t="s">
        <v>446</v>
      </c>
      <c r="HQ19" s="430" t="s">
        <v>446</v>
      </c>
      <c r="HR19" s="430" t="s">
        <v>446</v>
      </c>
      <c r="HS19" s="430" t="s">
        <v>446</v>
      </c>
      <c r="HT19" s="430" t="s">
        <v>446</v>
      </c>
      <c r="HU19" s="430" t="s">
        <v>446</v>
      </c>
      <c r="HV19" s="430" t="s">
        <v>446</v>
      </c>
      <c r="HW19" s="430" t="s">
        <v>446</v>
      </c>
      <c r="HX19" s="430" t="s">
        <v>446</v>
      </c>
      <c r="HY19" s="430" t="s">
        <v>446</v>
      </c>
      <c r="HZ19" s="430" t="s">
        <v>446</v>
      </c>
      <c r="IA19" s="430" t="s">
        <v>446</v>
      </c>
      <c r="IB19" s="430" t="s">
        <v>446</v>
      </c>
      <c r="IC19" s="430" t="s">
        <v>446</v>
      </c>
      <c r="ID19" s="430" t="s">
        <v>446</v>
      </c>
      <c r="IE19" s="430" t="s">
        <v>446</v>
      </c>
      <c r="IF19" s="430" t="s">
        <v>446</v>
      </c>
      <c r="IG19" s="430" t="s">
        <v>446</v>
      </c>
      <c r="IH19" s="430" t="s">
        <v>446</v>
      </c>
      <c r="II19" s="430" t="s">
        <v>446</v>
      </c>
      <c r="IJ19" s="430" t="s">
        <v>446</v>
      </c>
      <c r="IK19" s="430" t="s">
        <v>446</v>
      </c>
      <c r="IL19" s="430" t="s">
        <v>446</v>
      </c>
      <c r="IM19" s="430" t="s">
        <v>446</v>
      </c>
      <c r="IN19" s="430" t="s">
        <v>446</v>
      </c>
      <c r="IO19" s="430" t="s">
        <v>446</v>
      </c>
      <c r="IP19" s="430" t="s">
        <v>446</v>
      </c>
      <c r="IQ19" s="430" t="s">
        <v>446</v>
      </c>
      <c r="IR19" s="430" t="s">
        <v>446</v>
      </c>
      <c r="IS19" s="430" t="s">
        <v>446</v>
      </c>
      <c r="IT19" s="430" t="s">
        <v>446</v>
      </c>
      <c r="IU19" s="430" t="s">
        <v>446</v>
      </c>
      <c r="IV19" s="430" t="s">
        <v>446</v>
      </c>
      <c r="IW19" s="430" t="s">
        <v>446</v>
      </c>
      <c r="IX19" s="430" t="s">
        <v>446</v>
      </c>
      <c r="IY19" s="430" t="s">
        <v>446</v>
      </c>
      <c r="IZ19" s="430" t="s">
        <v>446</v>
      </c>
      <c r="JA19" s="430" t="s">
        <v>446</v>
      </c>
      <c r="JB19" s="430" t="s">
        <v>446</v>
      </c>
      <c r="JC19" s="430" t="s">
        <v>446</v>
      </c>
      <c r="JD19" s="430" t="s">
        <v>446</v>
      </c>
      <c r="JE19" s="430" t="s">
        <v>446</v>
      </c>
      <c r="JF19" s="430" t="s">
        <v>446</v>
      </c>
      <c r="JG19" s="430" t="s">
        <v>446</v>
      </c>
      <c r="JH19" s="430" t="s">
        <v>446</v>
      </c>
      <c r="JI19" s="430" t="s">
        <v>446</v>
      </c>
      <c r="JJ19" s="430" t="s">
        <v>446</v>
      </c>
      <c r="JK19" s="430" t="s">
        <v>446</v>
      </c>
      <c r="JL19" s="430" t="s">
        <v>446</v>
      </c>
      <c r="JM19" s="430" t="s">
        <v>446</v>
      </c>
      <c r="JN19" s="430" t="s">
        <v>446</v>
      </c>
      <c r="JO19" s="430" t="s">
        <v>446</v>
      </c>
      <c r="JP19" s="430" t="s">
        <v>446</v>
      </c>
      <c r="JQ19" s="430" t="s">
        <v>446</v>
      </c>
      <c r="JR19" s="430" t="s">
        <v>446</v>
      </c>
      <c r="JS19" s="430" t="s">
        <v>446</v>
      </c>
      <c r="JT19" s="430" t="s">
        <v>446</v>
      </c>
      <c r="JU19" s="430" t="s">
        <v>446</v>
      </c>
      <c r="JV19" s="430" t="s">
        <v>446</v>
      </c>
      <c r="JW19" s="430" t="s">
        <v>446</v>
      </c>
      <c r="JX19" s="430" t="s">
        <v>446</v>
      </c>
      <c r="JY19" s="430" t="s">
        <v>446</v>
      </c>
      <c r="JZ19" s="430" t="s">
        <v>446</v>
      </c>
      <c r="KA19" s="430" t="s">
        <v>446</v>
      </c>
      <c r="KB19" s="430" t="s">
        <v>446</v>
      </c>
      <c r="KC19" s="430" t="s">
        <v>446</v>
      </c>
      <c r="KD19" s="430" t="s">
        <v>446</v>
      </c>
      <c r="KE19" s="430" t="s">
        <v>446</v>
      </c>
      <c r="KF19" s="430" t="s">
        <v>446</v>
      </c>
      <c r="KG19" s="430" t="s">
        <v>446</v>
      </c>
      <c r="KH19" s="430" t="s">
        <v>446</v>
      </c>
      <c r="KI19" s="430" t="s">
        <v>446</v>
      </c>
      <c r="KJ19" s="430" t="s">
        <v>446</v>
      </c>
      <c r="KK19" s="430" t="s">
        <v>446</v>
      </c>
      <c r="KL19" s="430" t="s">
        <v>446</v>
      </c>
      <c r="KM19" s="430" t="s">
        <v>446</v>
      </c>
      <c r="KN19" s="430" t="s">
        <v>446</v>
      </c>
      <c r="KO19" s="430" t="s">
        <v>446</v>
      </c>
      <c r="KP19" s="430" t="s">
        <v>446</v>
      </c>
      <c r="KQ19" s="430" t="s">
        <v>446</v>
      </c>
      <c r="KR19" s="430" t="s">
        <v>446</v>
      </c>
      <c r="KS19" s="430" t="s">
        <v>446</v>
      </c>
      <c r="KT19" s="430" t="s">
        <v>446</v>
      </c>
      <c r="KU19" s="430" t="s">
        <v>446</v>
      </c>
      <c r="KV19" s="430" t="s">
        <v>446</v>
      </c>
      <c r="KW19" s="430" t="s">
        <v>446</v>
      </c>
      <c r="KX19" s="430" t="s">
        <v>446</v>
      </c>
      <c r="KY19" s="430" t="s">
        <v>446</v>
      </c>
      <c r="KZ19" s="430" t="s">
        <v>446</v>
      </c>
      <c r="LA19" s="430" t="s">
        <v>446</v>
      </c>
      <c r="LB19" s="430" t="s">
        <v>446</v>
      </c>
      <c r="LC19" s="430" t="s">
        <v>446</v>
      </c>
      <c r="LD19" s="430" t="s">
        <v>446</v>
      </c>
      <c r="LE19" s="430" t="s">
        <v>446</v>
      </c>
      <c r="LF19" s="430" t="s">
        <v>446</v>
      </c>
      <c r="LG19" s="430" t="s">
        <v>446</v>
      </c>
      <c r="LH19" s="430" t="s">
        <v>446</v>
      </c>
      <c r="LI19" s="430" t="s">
        <v>446</v>
      </c>
      <c r="LJ19" s="430" t="s">
        <v>446</v>
      </c>
      <c r="LK19" s="430" t="s">
        <v>446</v>
      </c>
      <c r="LL19" s="430" t="s">
        <v>446</v>
      </c>
      <c r="LM19" s="430" t="s">
        <v>446</v>
      </c>
      <c r="LN19" s="430" t="s">
        <v>446</v>
      </c>
      <c r="LO19" s="430" t="s">
        <v>446</v>
      </c>
      <c r="LP19" s="430" t="s">
        <v>446</v>
      </c>
      <c r="LQ19" s="430" t="s">
        <v>446</v>
      </c>
      <c r="LR19" s="430" t="s">
        <v>446</v>
      </c>
      <c r="LS19" s="430" t="s">
        <v>446</v>
      </c>
      <c r="LT19" s="430" t="s">
        <v>446</v>
      </c>
      <c r="LU19" s="430" t="s">
        <v>446</v>
      </c>
      <c r="LV19" s="430" t="s">
        <v>446</v>
      </c>
      <c r="LW19" s="430" t="s">
        <v>446</v>
      </c>
      <c r="LX19" s="430" t="s">
        <v>446</v>
      </c>
      <c r="LY19" s="430" t="s">
        <v>446</v>
      </c>
      <c r="LZ19" s="430" t="s">
        <v>446</v>
      </c>
      <c r="MA19" s="430" t="s">
        <v>446</v>
      </c>
      <c r="MB19" s="430" t="s">
        <v>446</v>
      </c>
      <c r="MC19" s="430" t="s">
        <v>446</v>
      </c>
      <c r="MD19" s="430" t="s">
        <v>446</v>
      </c>
      <c r="ME19" s="430" t="s">
        <v>446</v>
      </c>
      <c r="MF19" s="430" t="s">
        <v>446</v>
      </c>
      <c r="MG19" s="430" t="s">
        <v>446</v>
      </c>
      <c r="MH19" s="430" t="s">
        <v>446</v>
      </c>
      <c r="MI19" s="430" t="s">
        <v>446</v>
      </c>
      <c r="MJ19" s="430" t="s">
        <v>446</v>
      </c>
      <c r="MK19" s="430" t="s">
        <v>446</v>
      </c>
      <c r="ML19" s="430" t="s">
        <v>446</v>
      </c>
      <c r="MM19" s="430" t="s">
        <v>446</v>
      </c>
      <c r="MN19" s="430" t="s">
        <v>446</v>
      </c>
      <c r="MO19" s="430" t="s">
        <v>446</v>
      </c>
      <c r="MP19" s="430" t="s">
        <v>446</v>
      </c>
      <c r="MQ19" s="430" t="s">
        <v>446</v>
      </c>
      <c r="MR19" s="430" t="s">
        <v>446</v>
      </c>
      <c r="MS19" s="430" t="s">
        <v>446</v>
      </c>
      <c r="MT19" s="430" t="s">
        <v>446</v>
      </c>
      <c r="MU19" s="430" t="s">
        <v>446</v>
      </c>
      <c r="MV19" s="430" t="s">
        <v>446</v>
      </c>
      <c r="MW19" s="430" t="s">
        <v>446</v>
      </c>
      <c r="MX19" s="430" t="s">
        <v>446</v>
      </c>
      <c r="MY19" s="430" t="s">
        <v>446</v>
      </c>
      <c r="MZ19" s="430" t="s">
        <v>446</v>
      </c>
      <c r="NA19" s="430" t="s">
        <v>446</v>
      </c>
      <c r="NB19" s="430" t="s">
        <v>446</v>
      </c>
      <c r="NC19" s="430" t="s">
        <v>446</v>
      </c>
      <c r="ND19" s="430" t="s">
        <v>446</v>
      </c>
      <c r="NE19" s="430" t="s">
        <v>446</v>
      </c>
      <c r="NF19" s="430" t="s">
        <v>446</v>
      </c>
      <c r="NG19" s="430" t="s">
        <v>446</v>
      </c>
      <c r="NH19" s="430" t="s">
        <v>446</v>
      </c>
      <c r="NI19" s="430" t="s">
        <v>446</v>
      </c>
      <c r="NJ19" s="430" t="s">
        <v>446</v>
      </c>
      <c r="NK19" s="430" t="s">
        <v>446</v>
      </c>
      <c r="NL19" s="430" t="s">
        <v>446</v>
      </c>
      <c r="NM19" s="430" t="s">
        <v>446</v>
      </c>
      <c r="NN19" s="430" t="s">
        <v>446</v>
      </c>
      <c r="NO19" s="430" t="s">
        <v>446</v>
      </c>
      <c r="NP19" s="430" t="s">
        <v>446</v>
      </c>
      <c r="NQ19" s="430" t="s">
        <v>446</v>
      </c>
      <c r="NR19" s="430" t="s">
        <v>446</v>
      </c>
      <c r="NS19" s="430" t="s">
        <v>446</v>
      </c>
      <c r="NT19" s="430" t="s">
        <v>446</v>
      </c>
      <c r="NU19" s="430" t="s">
        <v>446</v>
      </c>
      <c r="NV19" s="430" t="s">
        <v>446</v>
      </c>
      <c r="NW19" s="430" t="s">
        <v>446</v>
      </c>
      <c r="NX19" s="430" t="s">
        <v>446</v>
      </c>
      <c r="NY19" s="430" t="s">
        <v>446</v>
      </c>
      <c r="NZ19" s="430" t="s">
        <v>446</v>
      </c>
      <c r="OA19" s="430" t="s">
        <v>446</v>
      </c>
      <c r="OB19" s="430" t="s">
        <v>446</v>
      </c>
      <c r="OC19" s="430" t="s">
        <v>446</v>
      </c>
      <c r="OD19" s="430" t="s">
        <v>446</v>
      </c>
      <c r="OE19" s="430" t="s">
        <v>446</v>
      </c>
      <c r="OF19" s="430" t="s">
        <v>446</v>
      </c>
      <c r="OG19" s="430" t="s">
        <v>446</v>
      </c>
      <c r="OH19" s="430" t="s">
        <v>446</v>
      </c>
      <c r="OI19" s="430" t="s">
        <v>446</v>
      </c>
      <c r="OJ19" s="430" t="s">
        <v>446</v>
      </c>
      <c r="OK19" s="430" t="s">
        <v>446</v>
      </c>
      <c r="OL19" s="430" t="s">
        <v>446</v>
      </c>
      <c r="OM19" s="430" t="s">
        <v>446</v>
      </c>
      <c r="ON19" s="430" t="s">
        <v>446</v>
      </c>
      <c r="OO19" s="430" t="s">
        <v>446</v>
      </c>
      <c r="OP19" s="430" t="s">
        <v>446</v>
      </c>
      <c r="OQ19" s="430" t="s">
        <v>446</v>
      </c>
      <c r="OR19" s="430" t="s">
        <v>446</v>
      </c>
      <c r="OS19" s="430" t="s">
        <v>446</v>
      </c>
      <c r="OT19" s="430" t="s">
        <v>446</v>
      </c>
      <c r="OU19" s="430" t="s">
        <v>446</v>
      </c>
      <c r="OV19" s="430" t="s">
        <v>446</v>
      </c>
      <c r="OW19" s="430" t="s">
        <v>446</v>
      </c>
      <c r="OX19" s="430" t="s">
        <v>446</v>
      </c>
      <c r="OY19" s="430" t="s">
        <v>446</v>
      </c>
      <c r="OZ19" s="430" t="s">
        <v>446</v>
      </c>
      <c r="PA19" s="430" t="s">
        <v>446</v>
      </c>
      <c r="PB19" s="430" t="s">
        <v>446</v>
      </c>
      <c r="PC19" s="430" t="s">
        <v>446</v>
      </c>
      <c r="PD19" s="430" t="s">
        <v>446</v>
      </c>
      <c r="PE19" s="430" t="s">
        <v>446</v>
      </c>
      <c r="PF19" s="430" t="s">
        <v>446</v>
      </c>
      <c r="PG19" s="430" t="s">
        <v>446</v>
      </c>
      <c r="PH19" s="430" t="s">
        <v>446</v>
      </c>
      <c r="PI19" s="430" t="s">
        <v>446</v>
      </c>
      <c r="PJ19" s="430" t="s">
        <v>446</v>
      </c>
      <c r="PK19" s="430" t="s">
        <v>446</v>
      </c>
      <c r="PL19" s="430" t="s">
        <v>446</v>
      </c>
      <c r="PM19" s="430" t="s">
        <v>446</v>
      </c>
      <c r="PN19" s="430" t="s">
        <v>446</v>
      </c>
      <c r="PO19" s="430" t="s">
        <v>446</v>
      </c>
      <c r="PP19" s="430" t="s">
        <v>446</v>
      </c>
      <c r="PQ19" s="430" t="s">
        <v>446</v>
      </c>
      <c r="PR19" s="430" t="s">
        <v>446</v>
      </c>
      <c r="PS19" s="430" t="s">
        <v>446</v>
      </c>
      <c r="PT19" s="430" t="s">
        <v>446</v>
      </c>
      <c r="PU19" s="430" t="s">
        <v>446</v>
      </c>
      <c r="PV19" s="430" t="s">
        <v>446</v>
      </c>
      <c r="PW19" s="430" t="s">
        <v>446</v>
      </c>
      <c r="PX19" s="430" t="s">
        <v>446</v>
      </c>
      <c r="PY19" s="430" t="s">
        <v>446</v>
      </c>
      <c r="PZ19" s="430" t="s">
        <v>446</v>
      </c>
      <c r="QA19" s="430" t="s">
        <v>446</v>
      </c>
      <c r="QB19" s="430" t="s">
        <v>446</v>
      </c>
      <c r="QC19" s="430" t="s">
        <v>446</v>
      </c>
      <c r="QD19" s="430" t="s">
        <v>446</v>
      </c>
      <c r="QE19" s="430" t="s">
        <v>446</v>
      </c>
      <c r="QF19" s="430" t="s">
        <v>446</v>
      </c>
      <c r="QG19" s="430" t="s">
        <v>446</v>
      </c>
      <c r="QH19" s="430" t="s">
        <v>446</v>
      </c>
      <c r="QI19" s="430" t="s">
        <v>446</v>
      </c>
      <c r="QJ19" s="430" t="s">
        <v>446</v>
      </c>
      <c r="QK19" s="430" t="s">
        <v>446</v>
      </c>
      <c r="QL19" s="430" t="s">
        <v>446</v>
      </c>
      <c r="QM19" s="430" t="s">
        <v>446</v>
      </c>
      <c r="QN19" s="430" t="s">
        <v>446</v>
      </c>
      <c r="QO19" s="442" t="s">
        <v>446</v>
      </c>
    </row>
    <row r="20" spans="1:457" ht="30" customHeight="1" x14ac:dyDescent="0.25">
      <c r="A20" s="431" t="str">
        <f>Salas!A19</f>
        <v>J - Biblioteca</v>
      </c>
      <c r="B20" s="429" t="s">
        <v>446</v>
      </c>
      <c r="C20" s="430" t="s">
        <v>446</v>
      </c>
      <c r="D20" s="430" t="s">
        <v>446</v>
      </c>
      <c r="E20" s="430" t="s">
        <v>446</v>
      </c>
      <c r="F20" s="430" t="s">
        <v>446</v>
      </c>
      <c r="G20" s="430" t="s">
        <v>446</v>
      </c>
      <c r="H20" s="430" t="s">
        <v>446</v>
      </c>
      <c r="I20" s="430" t="s">
        <v>446</v>
      </c>
      <c r="J20" s="430" t="s">
        <v>446</v>
      </c>
      <c r="K20" s="430" t="s">
        <v>446</v>
      </c>
      <c r="L20" s="430" t="s">
        <v>446</v>
      </c>
      <c r="M20" s="430" t="s">
        <v>446</v>
      </c>
      <c r="N20" s="430" t="s">
        <v>446</v>
      </c>
      <c r="O20" s="430" t="s">
        <v>446</v>
      </c>
      <c r="P20" s="430" t="s">
        <v>446</v>
      </c>
      <c r="Q20" s="430" t="s">
        <v>446</v>
      </c>
      <c r="R20" s="430" t="s">
        <v>446</v>
      </c>
      <c r="S20" s="430" t="s">
        <v>446</v>
      </c>
      <c r="T20" s="430" t="s">
        <v>446</v>
      </c>
      <c r="U20" s="430" t="s">
        <v>446</v>
      </c>
      <c r="V20" s="430" t="s">
        <v>446</v>
      </c>
      <c r="W20" s="430" t="s">
        <v>446</v>
      </c>
      <c r="X20" s="430" t="s">
        <v>446</v>
      </c>
      <c r="Y20" s="430" t="s">
        <v>446</v>
      </c>
      <c r="Z20" s="430" t="s">
        <v>446</v>
      </c>
      <c r="AA20" s="430" t="s">
        <v>446</v>
      </c>
      <c r="AB20" s="430" t="s">
        <v>446</v>
      </c>
      <c r="AC20" s="430" t="s">
        <v>446</v>
      </c>
      <c r="AD20" s="430" t="s">
        <v>446</v>
      </c>
      <c r="AE20" s="430" t="s">
        <v>446</v>
      </c>
      <c r="AF20" s="430" t="s">
        <v>446</v>
      </c>
      <c r="AG20" s="430" t="s">
        <v>446</v>
      </c>
      <c r="AH20" s="430" t="s">
        <v>446</v>
      </c>
      <c r="AI20" s="430" t="s">
        <v>446</v>
      </c>
      <c r="AJ20" s="430" t="s">
        <v>446</v>
      </c>
      <c r="AK20" s="430" t="s">
        <v>446</v>
      </c>
      <c r="AL20" s="430" t="s">
        <v>446</v>
      </c>
      <c r="AM20" s="430" t="s">
        <v>446</v>
      </c>
      <c r="AN20" s="430" t="s">
        <v>446</v>
      </c>
      <c r="AO20" s="430" t="s">
        <v>446</v>
      </c>
      <c r="AP20" s="430" t="s">
        <v>446</v>
      </c>
      <c r="AQ20" s="430" t="s">
        <v>446</v>
      </c>
      <c r="AR20" s="430" t="s">
        <v>446</v>
      </c>
      <c r="AS20" s="430" t="s">
        <v>446</v>
      </c>
      <c r="AT20" s="430" t="s">
        <v>446</v>
      </c>
      <c r="AU20" s="430" t="s">
        <v>446</v>
      </c>
      <c r="AV20" s="430" t="s">
        <v>446</v>
      </c>
      <c r="AW20" s="430" t="s">
        <v>446</v>
      </c>
      <c r="AX20" s="430" t="s">
        <v>446</v>
      </c>
      <c r="AY20" s="430" t="s">
        <v>446</v>
      </c>
      <c r="AZ20" s="430" t="s">
        <v>446</v>
      </c>
      <c r="BA20" s="430" t="s">
        <v>446</v>
      </c>
      <c r="BB20" s="430" t="s">
        <v>446</v>
      </c>
      <c r="BC20" s="430" t="s">
        <v>446</v>
      </c>
      <c r="BD20" s="430" t="s">
        <v>446</v>
      </c>
      <c r="BE20" s="430" t="s">
        <v>446</v>
      </c>
      <c r="BF20" s="430" t="s">
        <v>446</v>
      </c>
      <c r="BG20" s="430" t="s">
        <v>446</v>
      </c>
      <c r="BH20" s="430" t="s">
        <v>446</v>
      </c>
      <c r="BI20" s="430" t="s">
        <v>446</v>
      </c>
      <c r="BJ20" s="430" t="s">
        <v>446</v>
      </c>
      <c r="BK20" s="430" t="s">
        <v>446</v>
      </c>
      <c r="BL20" s="430" t="s">
        <v>446</v>
      </c>
      <c r="BM20" s="430" t="s">
        <v>446</v>
      </c>
      <c r="BN20" s="430" t="s">
        <v>446</v>
      </c>
      <c r="BO20" s="430" t="s">
        <v>446</v>
      </c>
      <c r="BP20" s="430" t="s">
        <v>446</v>
      </c>
      <c r="BQ20" s="430" t="s">
        <v>446</v>
      </c>
      <c r="BR20" s="430" t="s">
        <v>446</v>
      </c>
      <c r="BS20" s="430" t="s">
        <v>446</v>
      </c>
      <c r="BT20" s="430" t="s">
        <v>446</v>
      </c>
      <c r="BU20" s="430" t="s">
        <v>446</v>
      </c>
      <c r="BV20" s="430" t="s">
        <v>446</v>
      </c>
      <c r="BW20" s="430" t="s">
        <v>446</v>
      </c>
      <c r="BX20" s="430" t="s">
        <v>446</v>
      </c>
      <c r="BY20" s="430" t="s">
        <v>446</v>
      </c>
      <c r="BZ20" s="430" t="s">
        <v>446</v>
      </c>
      <c r="CA20" s="430" t="s">
        <v>446</v>
      </c>
      <c r="CB20" s="430" t="s">
        <v>446</v>
      </c>
      <c r="CC20" s="430" t="s">
        <v>446</v>
      </c>
      <c r="CD20" s="430" t="s">
        <v>446</v>
      </c>
      <c r="CE20" s="430" t="s">
        <v>446</v>
      </c>
      <c r="CF20" s="430" t="s">
        <v>446</v>
      </c>
      <c r="CG20" s="430" t="s">
        <v>446</v>
      </c>
      <c r="CH20" s="430" t="s">
        <v>446</v>
      </c>
      <c r="CI20" s="430" t="s">
        <v>446</v>
      </c>
      <c r="CJ20" s="430" t="s">
        <v>446</v>
      </c>
      <c r="CK20" s="430" t="s">
        <v>446</v>
      </c>
      <c r="CL20" s="430" t="s">
        <v>446</v>
      </c>
      <c r="CM20" s="430" t="s">
        <v>446</v>
      </c>
      <c r="CN20" s="430" t="s">
        <v>446</v>
      </c>
      <c r="CO20" s="430" t="s">
        <v>446</v>
      </c>
      <c r="CP20" s="430" t="s">
        <v>446</v>
      </c>
      <c r="CQ20" s="430" t="s">
        <v>446</v>
      </c>
      <c r="CR20" s="430" t="s">
        <v>446</v>
      </c>
      <c r="CS20" s="430" t="s">
        <v>446</v>
      </c>
      <c r="CT20" s="430" t="s">
        <v>446</v>
      </c>
      <c r="CU20" s="430" t="s">
        <v>446</v>
      </c>
      <c r="CV20" s="430" t="s">
        <v>446</v>
      </c>
      <c r="CW20" s="430" t="s">
        <v>446</v>
      </c>
      <c r="CX20" s="430" t="s">
        <v>446</v>
      </c>
      <c r="CY20" s="430" t="s">
        <v>446</v>
      </c>
      <c r="CZ20" s="430" t="s">
        <v>446</v>
      </c>
      <c r="DA20" s="430" t="s">
        <v>446</v>
      </c>
      <c r="DB20" s="430" t="s">
        <v>446</v>
      </c>
      <c r="DC20" s="430" t="s">
        <v>446</v>
      </c>
      <c r="DD20" s="430" t="s">
        <v>446</v>
      </c>
      <c r="DE20" s="430" t="s">
        <v>446</v>
      </c>
      <c r="DF20" s="430" t="s">
        <v>446</v>
      </c>
      <c r="DG20" s="430" t="s">
        <v>446</v>
      </c>
      <c r="DH20" s="430" t="s">
        <v>446</v>
      </c>
      <c r="DI20" s="430" t="s">
        <v>446</v>
      </c>
      <c r="DJ20" s="430" t="s">
        <v>446</v>
      </c>
      <c r="DK20" s="430" t="s">
        <v>446</v>
      </c>
      <c r="DL20" s="430" t="s">
        <v>446</v>
      </c>
      <c r="DM20" s="430" t="s">
        <v>446</v>
      </c>
      <c r="DN20" s="430" t="s">
        <v>446</v>
      </c>
      <c r="DO20" s="430" t="s">
        <v>446</v>
      </c>
      <c r="DP20" s="430" t="s">
        <v>446</v>
      </c>
      <c r="DQ20" s="430" t="s">
        <v>446</v>
      </c>
      <c r="DR20" s="430" t="s">
        <v>446</v>
      </c>
      <c r="DS20" s="430" t="s">
        <v>446</v>
      </c>
      <c r="DT20" s="430" t="s">
        <v>446</v>
      </c>
      <c r="DU20" s="430" t="s">
        <v>446</v>
      </c>
      <c r="DV20" s="430" t="s">
        <v>446</v>
      </c>
      <c r="DW20" s="430" t="s">
        <v>446</v>
      </c>
      <c r="DX20" s="430" t="s">
        <v>446</v>
      </c>
      <c r="DY20" s="430" t="s">
        <v>446</v>
      </c>
      <c r="DZ20" s="430" t="s">
        <v>446</v>
      </c>
      <c r="EA20" s="430" t="s">
        <v>446</v>
      </c>
      <c r="EB20" s="430" t="s">
        <v>446</v>
      </c>
      <c r="EC20" s="430" t="s">
        <v>446</v>
      </c>
      <c r="ED20" s="430" t="s">
        <v>446</v>
      </c>
      <c r="EE20" s="430" t="s">
        <v>446</v>
      </c>
      <c r="EF20" s="430" t="s">
        <v>446</v>
      </c>
      <c r="EG20" s="430" t="s">
        <v>446</v>
      </c>
      <c r="EH20" s="430" t="s">
        <v>446</v>
      </c>
      <c r="EI20" s="430" t="s">
        <v>446</v>
      </c>
      <c r="EJ20" s="430" t="s">
        <v>446</v>
      </c>
      <c r="EK20" s="430" t="s">
        <v>446</v>
      </c>
      <c r="EL20" s="430" t="s">
        <v>446</v>
      </c>
      <c r="EM20" s="430" t="s">
        <v>446</v>
      </c>
      <c r="EN20" s="430" t="s">
        <v>446</v>
      </c>
      <c r="EO20" s="430" t="s">
        <v>446</v>
      </c>
      <c r="EP20" s="430" t="s">
        <v>446</v>
      </c>
      <c r="EQ20" s="430" t="s">
        <v>446</v>
      </c>
      <c r="ER20" s="430" t="s">
        <v>446</v>
      </c>
      <c r="ES20" s="430" t="s">
        <v>446</v>
      </c>
      <c r="ET20" s="430" t="s">
        <v>446</v>
      </c>
      <c r="EU20" s="430" t="s">
        <v>446</v>
      </c>
      <c r="EV20" s="430" t="s">
        <v>446</v>
      </c>
      <c r="EW20" s="430" t="s">
        <v>446</v>
      </c>
      <c r="EX20" s="430" t="s">
        <v>446</v>
      </c>
      <c r="EY20" s="430" t="s">
        <v>446</v>
      </c>
      <c r="EZ20" s="430" t="s">
        <v>446</v>
      </c>
      <c r="FA20" s="430" t="s">
        <v>446</v>
      </c>
      <c r="FB20" s="430" t="s">
        <v>446</v>
      </c>
      <c r="FC20" s="430" t="s">
        <v>446</v>
      </c>
      <c r="FD20" s="430" t="s">
        <v>446</v>
      </c>
      <c r="FE20" s="430" t="s">
        <v>446</v>
      </c>
      <c r="FF20" s="430" t="s">
        <v>446</v>
      </c>
      <c r="FG20" s="430" t="s">
        <v>446</v>
      </c>
      <c r="FH20" s="430" t="s">
        <v>446</v>
      </c>
      <c r="FI20" s="430" t="s">
        <v>446</v>
      </c>
      <c r="FJ20" s="430" t="s">
        <v>446</v>
      </c>
      <c r="FK20" s="430" t="s">
        <v>446</v>
      </c>
      <c r="FL20" s="430" t="s">
        <v>446</v>
      </c>
      <c r="FM20" s="430" t="s">
        <v>446</v>
      </c>
      <c r="FN20" s="430" t="s">
        <v>446</v>
      </c>
      <c r="FO20" s="430" t="s">
        <v>446</v>
      </c>
      <c r="FP20" s="430" t="s">
        <v>446</v>
      </c>
      <c r="FQ20" s="430" t="s">
        <v>446</v>
      </c>
      <c r="FR20" s="430" t="s">
        <v>446</v>
      </c>
      <c r="FS20" s="430" t="s">
        <v>446</v>
      </c>
      <c r="FT20" s="430" t="s">
        <v>446</v>
      </c>
      <c r="FU20" s="430" t="s">
        <v>446</v>
      </c>
      <c r="FV20" s="430" t="s">
        <v>446</v>
      </c>
      <c r="FW20" s="430" t="s">
        <v>446</v>
      </c>
      <c r="FX20" s="430" t="s">
        <v>446</v>
      </c>
      <c r="FY20" s="430" t="s">
        <v>446</v>
      </c>
      <c r="FZ20" s="430" t="s">
        <v>446</v>
      </c>
      <c r="GA20" s="430" t="s">
        <v>446</v>
      </c>
      <c r="GB20" s="430" t="s">
        <v>446</v>
      </c>
      <c r="GC20" s="430" t="s">
        <v>446</v>
      </c>
      <c r="GD20" s="430" t="s">
        <v>446</v>
      </c>
      <c r="GE20" s="430" t="s">
        <v>446</v>
      </c>
      <c r="GF20" s="430" t="s">
        <v>446</v>
      </c>
      <c r="GG20" s="430" t="s">
        <v>446</v>
      </c>
      <c r="GH20" s="430" t="s">
        <v>446</v>
      </c>
      <c r="GI20" s="430" t="s">
        <v>446</v>
      </c>
      <c r="GJ20" s="430" t="s">
        <v>446</v>
      </c>
      <c r="GK20" s="430" t="s">
        <v>446</v>
      </c>
      <c r="GL20" s="430" t="s">
        <v>446</v>
      </c>
      <c r="GM20" s="430" t="s">
        <v>446</v>
      </c>
      <c r="GN20" s="430" t="s">
        <v>446</v>
      </c>
      <c r="GO20" s="430" t="s">
        <v>446</v>
      </c>
      <c r="GP20" s="430" t="s">
        <v>446</v>
      </c>
      <c r="GQ20" s="430" t="s">
        <v>446</v>
      </c>
      <c r="GR20" s="430" t="s">
        <v>446</v>
      </c>
      <c r="GS20" s="430" t="s">
        <v>446</v>
      </c>
      <c r="GT20" s="430" t="s">
        <v>446</v>
      </c>
      <c r="GU20" s="430" t="s">
        <v>446</v>
      </c>
      <c r="GV20" s="430" t="s">
        <v>446</v>
      </c>
      <c r="GW20" s="430" t="s">
        <v>446</v>
      </c>
      <c r="GX20" s="430" t="s">
        <v>446</v>
      </c>
      <c r="GY20" s="430" t="s">
        <v>446</v>
      </c>
      <c r="GZ20" s="430" t="s">
        <v>446</v>
      </c>
      <c r="HA20" s="430" t="s">
        <v>446</v>
      </c>
      <c r="HB20" s="430" t="s">
        <v>446</v>
      </c>
      <c r="HC20" s="430" t="s">
        <v>446</v>
      </c>
      <c r="HD20" s="430" t="s">
        <v>446</v>
      </c>
      <c r="HE20" s="430" t="s">
        <v>446</v>
      </c>
      <c r="HF20" s="430" t="s">
        <v>446</v>
      </c>
      <c r="HG20" s="430" t="s">
        <v>446</v>
      </c>
      <c r="HH20" s="430" t="s">
        <v>446</v>
      </c>
      <c r="HI20" s="430" t="s">
        <v>446</v>
      </c>
      <c r="HJ20" s="430" t="s">
        <v>446</v>
      </c>
      <c r="HK20" s="430" t="s">
        <v>446</v>
      </c>
      <c r="HL20" s="430" t="s">
        <v>446</v>
      </c>
      <c r="HM20" s="430" t="s">
        <v>446</v>
      </c>
      <c r="HN20" s="430" t="s">
        <v>446</v>
      </c>
      <c r="HO20" s="430" t="s">
        <v>446</v>
      </c>
      <c r="HP20" s="430" t="s">
        <v>446</v>
      </c>
      <c r="HQ20" s="430" t="s">
        <v>446</v>
      </c>
      <c r="HR20" s="430" t="s">
        <v>446</v>
      </c>
      <c r="HS20" s="430" t="s">
        <v>446</v>
      </c>
      <c r="HT20" s="430" t="s">
        <v>446</v>
      </c>
      <c r="HU20" s="430" t="s">
        <v>446</v>
      </c>
      <c r="HV20" s="430" t="s">
        <v>446</v>
      </c>
      <c r="HW20" s="430" t="s">
        <v>446</v>
      </c>
      <c r="HX20" s="430" t="s">
        <v>446</v>
      </c>
      <c r="HY20" s="430" t="s">
        <v>446</v>
      </c>
      <c r="HZ20" s="430" t="s">
        <v>446</v>
      </c>
      <c r="IA20" s="430" t="s">
        <v>446</v>
      </c>
      <c r="IB20" s="430" t="s">
        <v>446</v>
      </c>
      <c r="IC20" s="430" t="s">
        <v>446</v>
      </c>
      <c r="ID20" s="430" t="s">
        <v>446</v>
      </c>
      <c r="IE20" s="430" t="s">
        <v>446</v>
      </c>
      <c r="IF20" s="430" t="s">
        <v>446</v>
      </c>
      <c r="IG20" s="430" t="s">
        <v>446</v>
      </c>
      <c r="IH20" s="430" t="s">
        <v>446</v>
      </c>
      <c r="II20" s="430" t="s">
        <v>446</v>
      </c>
      <c r="IJ20" s="430" t="s">
        <v>446</v>
      </c>
      <c r="IK20" s="430" t="s">
        <v>446</v>
      </c>
      <c r="IL20" s="430" t="s">
        <v>446</v>
      </c>
      <c r="IM20" s="430" t="s">
        <v>446</v>
      </c>
      <c r="IN20" s="430" t="s">
        <v>446</v>
      </c>
      <c r="IO20" s="430" t="s">
        <v>446</v>
      </c>
      <c r="IP20" s="430" t="s">
        <v>446</v>
      </c>
      <c r="IQ20" s="430" t="s">
        <v>446</v>
      </c>
      <c r="IR20" s="430" t="s">
        <v>446</v>
      </c>
      <c r="IS20" s="430" t="s">
        <v>446</v>
      </c>
      <c r="IT20" s="430" t="s">
        <v>446</v>
      </c>
      <c r="IU20" s="430" t="s">
        <v>446</v>
      </c>
      <c r="IV20" s="430" t="s">
        <v>446</v>
      </c>
      <c r="IW20" s="430" t="s">
        <v>446</v>
      </c>
      <c r="IX20" s="430" t="s">
        <v>446</v>
      </c>
      <c r="IY20" s="430" t="s">
        <v>446</v>
      </c>
      <c r="IZ20" s="430" t="s">
        <v>446</v>
      </c>
      <c r="JA20" s="430" t="s">
        <v>446</v>
      </c>
      <c r="JB20" s="430" t="s">
        <v>446</v>
      </c>
      <c r="JC20" s="430" t="s">
        <v>446</v>
      </c>
      <c r="JD20" s="430" t="s">
        <v>446</v>
      </c>
      <c r="JE20" s="430" t="s">
        <v>446</v>
      </c>
      <c r="JF20" s="430" t="s">
        <v>446</v>
      </c>
      <c r="JG20" s="430" t="s">
        <v>446</v>
      </c>
      <c r="JH20" s="430" t="s">
        <v>446</v>
      </c>
      <c r="JI20" s="430" t="s">
        <v>446</v>
      </c>
      <c r="JJ20" s="430" t="s">
        <v>446</v>
      </c>
      <c r="JK20" s="430" t="s">
        <v>446</v>
      </c>
      <c r="JL20" s="430" t="s">
        <v>446</v>
      </c>
      <c r="JM20" s="430" t="s">
        <v>446</v>
      </c>
      <c r="JN20" s="430" t="s">
        <v>446</v>
      </c>
      <c r="JO20" s="430" t="s">
        <v>446</v>
      </c>
      <c r="JP20" s="430" t="s">
        <v>446</v>
      </c>
      <c r="JQ20" s="430" t="s">
        <v>446</v>
      </c>
      <c r="JR20" s="430" t="s">
        <v>446</v>
      </c>
      <c r="JS20" s="430" t="s">
        <v>446</v>
      </c>
      <c r="JT20" s="430" t="s">
        <v>446</v>
      </c>
      <c r="JU20" s="430" t="s">
        <v>446</v>
      </c>
      <c r="JV20" s="430" t="s">
        <v>446</v>
      </c>
      <c r="JW20" s="430" t="s">
        <v>446</v>
      </c>
      <c r="JX20" s="430" t="s">
        <v>446</v>
      </c>
      <c r="JY20" s="430" t="s">
        <v>446</v>
      </c>
      <c r="JZ20" s="430" t="s">
        <v>446</v>
      </c>
      <c r="KA20" s="430" t="s">
        <v>446</v>
      </c>
      <c r="KB20" s="430" t="s">
        <v>446</v>
      </c>
      <c r="KC20" s="430" t="s">
        <v>446</v>
      </c>
      <c r="KD20" s="430" t="s">
        <v>446</v>
      </c>
      <c r="KE20" s="430" t="s">
        <v>446</v>
      </c>
      <c r="KF20" s="430" t="s">
        <v>446</v>
      </c>
      <c r="KG20" s="430" t="s">
        <v>446</v>
      </c>
      <c r="KH20" s="430" t="s">
        <v>446</v>
      </c>
      <c r="KI20" s="430" t="s">
        <v>446</v>
      </c>
      <c r="KJ20" s="430" t="s">
        <v>446</v>
      </c>
      <c r="KK20" s="430" t="s">
        <v>446</v>
      </c>
      <c r="KL20" s="430" t="s">
        <v>446</v>
      </c>
      <c r="KM20" s="430" t="s">
        <v>446</v>
      </c>
      <c r="KN20" s="430" t="s">
        <v>446</v>
      </c>
      <c r="KO20" s="430" t="s">
        <v>446</v>
      </c>
      <c r="KP20" s="430" t="s">
        <v>446</v>
      </c>
      <c r="KQ20" s="430" t="s">
        <v>446</v>
      </c>
      <c r="KR20" s="430" t="s">
        <v>446</v>
      </c>
      <c r="KS20" s="430" t="s">
        <v>446</v>
      </c>
      <c r="KT20" s="430" t="s">
        <v>446</v>
      </c>
      <c r="KU20" s="430" t="s">
        <v>446</v>
      </c>
      <c r="KV20" s="430" t="s">
        <v>446</v>
      </c>
      <c r="KW20" s="430" t="s">
        <v>446</v>
      </c>
      <c r="KX20" s="430" t="s">
        <v>446</v>
      </c>
      <c r="KY20" s="430" t="s">
        <v>446</v>
      </c>
      <c r="KZ20" s="430" t="s">
        <v>446</v>
      </c>
      <c r="LA20" s="430" t="s">
        <v>446</v>
      </c>
      <c r="LB20" s="430" t="s">
        <v>446</v>
      </c>
      <c r="LC20" s="430" t="s">
        <v>446</v>
      </c>
      <c r="LD20" s="430" t="s">
        <v>446</v>
      </c>
      <c r="LE20" s="430" t="s">
        <v>446</v>
      </c>
      <c r="LF20" s="430" t="s">
        <v>446</v>
      </c>
      <c r="LG20" s="430" t="s">
        <v>446</v>
      </c>
      <c r="LH20" s="430" t="s">
        <v>446</v>
      </c>
      <c r="LI20" s="430" t="s">
        <v>446</v>
      </c>
      <c r="LJ20" s="430" t="s">
        <v>446</v>
      </c>
      <c r="LK20" s="430" t="s">
        <v>446</v>
      </c>
      <c r="LL20" s="430" t="s">
        <v>446</v>
      </c>
      <c r="LM20" s="430" t="s">
        <v>446</v>
      </c>
      <c r="LN20" s="430" t="s">
        <v>446</v>
      </c>
      <c r="LO20" s="430" t="s">
        <v>446</v>
      </c>
      <c r="LP20" s="430" t="s">
        <v>446</v>
      </c>
      <c r="LQ20" s="430" t="s">
        <v>446</v>
      </c>
      <c r="LR20" s="430" t="s">
        <v>446</v>
      </c>
      <c r="LS20" s="430" t="s">
        <v>446</v>
      </c>
      <c r="LT20" s="430" t="s">
        <v>446</v>
      </c>
      <c r="LU20" s="430" t="s">
        <v>446</v>
      </c>
      <c r="LV20" s="430" t="s">
        <v>446</v>
      </c>
      <c r="LW20" s="430" t="s">
        <v>446</v>
      </c>
      <c r="LX20" s="430" t="s">
        <v>446</v>
      </c>
      <c r="LY20" s="430" t="s">
        <v>446</v>
      </c>
      <c r="LZ20" s="430" t="s">
        <v>446</v>
      </c>
      <c r="MA20" s="430" t="s">
        <v>446</v>
      </c>
      <c r="MB20" s="430" t="s">
        <v>446</v>
      </c>
      <c r="MC20" s="430" t="s">
        <v>446</v>
      </c>
      <c r="MD20" s="430" t="s">
        <v>446</v>
      </c>
      <c r="ME20" s="430" t="s">
        <v>446</v>
      </c>
      <c r="MF20" s="430" t="s">
        <v>446</v>
      </c>
      <c r="MG20" s="430" t="s">
        <v>446</v>
      </c>
      <c r="MH20" s="430" t="s">
        <v>446</v>
      </c>
      <c r="MI20" s="430" t="s">
        <v>446</v>
      </c>
      <c r="MJ20" s="430" t="s">
        <v>446</v>
      </c>
      <c r="MK20" s="430" t="s">
        <v>446</v>
      </c>
      <c r="ML20" s="430" t="s">
        <v>446</v>
      </c>
      <c r="MM20" s="430" t="s">
        <v>446</v>
      </c>
      <c r="MN20" s="430" t="s">
        <v>446</v>
      </c>
      <c r="MO20" s="430" t="s">
        <v>446</v>
      </c>
      <c r="MP20" s="430" t="s">
        <v>446</v>
      </c>
      <c r="MQ20" s="430" t="s">
        <v>446</v>
      </c>
      <c r="MR20" s="430" t="s">
        <v>446</v>
      </c>
      <c r="MS20" s="430" t="s">
        <v>446</v>
      </c>
      <c r="MT20" s="430" t="s">
        <v>446</v>
      </c>
      <c r="MU20" s="430" t="s">
        <v>446</v>
      </c>
      <c r="MV20" s="430" t="s">
        <v>446</v>
      </c>
      <c r="MW20" s="430" t="s">
        <v>446</v>
      </c>
      <c r="MX20" s="430" t="s">
        <v>446</v>
      </c>
      <c r="MY20" s="430" t="s">
        <v>446</v>
      </c>
      <c r="MZ20" s="430" t="s">
        <v>446</v>
      </c>
      <c r="NA20" s="430" t="s">
        <v>446</v>
      </c>
      <c r="NB20" s="430" t="s">
        <v>446</v>
      </c>
      <c r="NC20" s="430" t="s">
        <v>446</v>
      </c>
      <c r="ND20" s="430" t="s">
        <v>446</v>
      </c>
      <c r="NE20" s="430" t="s">
        <v>446</v>
      </c>
      <c r="NF20" s="430" t="s">
        <v>446</v>
      </c>
      <c r="NG20" s="430" t="s">
        <v>446</v>
      </c>
      <c r="NH20" s="430" t="s">
        <v>446</v>
      </c>
      <c r="NI20" s="430" t="s">
        <v>446</v>
      </c>
      <c r="NJ20" s="430" t="s">
        <v>446</v>
      </c>
      <c r="NK20" s="430" t="s">
        <v>446</v>
      </c>
      <c r="NL20" s="430" t="s">
        <v>446</v>
      </c>
      <c r="NM20" s="430" t="s">
        <v>446</v>
      </c>
      <c r="NN20" s="430" t="s">
        <v>446</v>
      </c>
      <c r="NO20" s="430" t="s">
        <v>446</v>
      </c>
      <c r="NP20" s="430" t="s">
        <v>446</v>
      </c>
      <c r="NQ20" s="430" t="s">
        <v>446</v>
      </c>
      <c r="NR20" s="430" t="s">
        <v>446</v>
      </c>
      <c r="NS20" s="430" t="s">
        <v>446</v>
      </c>
      <c r="NT20" s="430" t="s">
        <v>446</v>
      </c>
      <c r="NU20" s="430" t="s">
        <v>446</v>
      </c>
      <c r="NV20" s="430" t="s">
        <v>446</v>
      </c>
      <c r="NW20" s="430" t="s">
        <v>446</v>
      </c>
      <c r="NX20" s="430" t="s">
        <v>446</v>
      </c>
      <c r="NY20" s="430" t="s">
        <v>446</v>
      </c>
      <c r="NZ20" s="430" t="s">
        <v>446</v>
      </c>
      <c r="OA20" s="430" t="s">
        <v>446</v>
      </c>
      <c r="OB20" s="430" t="s">
        <v>446</v>
      </c>
      <c r="OC20" s="430" t="s">
        <v>446</v>
      </c>
      <c r="OD20" s="430" t="s">
        <v>446</v>
      </c>
      <c r="OE20" s="430" t="s">
        <v>446</v>
      </c>
      <c r="OF20" s="430" t="s">
        <v>446</v>
      </c>
      <c r="OG20" s="430" t="s">
        <v>446</v>
      </c>
      <c r="OH20" s="430" t="s">
        <v>446</v>
      </c>
      <c r="OI20" s="430" t="s">
        <v>446</v>
      </c>
      <c r="OJ20" s="430" t="s">
        <v>446</v>
      </c>
      <c r="OK20" s="430" t="s">
        <v>446</v>
      </c>
      <c r="OL20" s="430" t="s">
        <v>446</v>
      </c>
      <c r="OM20" s="430" t="s">
        <v>446</v>
      </c>
      <c r="ON20" s="430" t="s">
        <v>446</v>
      </c>
      <c r="OO20" s="430" t="s">
        <v>446</v>
      </c>
      <c r="OP20" s="430" t="s">
        <v>446</v>
      </c>
      <c r="OQ20" s="430" t="s">
        <v>446</v>
      </c>
      <c r="OR20" s="430" t="s">
        <v>446</v>
      </c>
      <c r="OS20" s="430" t="s">
        <v>446</v>
      </c>
      <c r="OT20" s="430" t="s">
        <v>446</v>
      </c>
      <c r="OU20" s="430" t="s">
        <v>446</v>
      </c>
      <c r="OV20" s="430" t="s">
        <v>446</v>
      </c>
      <c r="OW20" s="430" t="s">
        <v>446</v>
      </c>
      <c r="OX20" s="430" t="s">
        <v>446</v>
      </c>
      <c r="OY20" s="430" t="s">
        <v>446</v>
      </c>
      <c r="OZ20" s="430" t="s">
        <v>446</v>
      </c>
      <c r="PA20" s="430" t="s">
        <v>446</v>
      </c>
      <c r="PB20" s="430" t="s">
        <v>446</v>
      </c>
      <c r="PC20" s="430" t="s">
        <v>446</v>
      </c>
      <c r="PD20" s="430" t="s">
        <v>446</v>
      </c>
      <c r="PE20" s="430" t="s">
        <v>446</v>
      </c>
      <c r="PF20" s="430" t="s">
        <v>446</v>
      </c>
      <c r="PG20" s="430" t="s">
        <v>446</v>
      </c>
      <c r="PH20" s="430" t="s">
        <v>446</v>
      </c>
      <c r="PI20" s="430" t="s">
        <v>446</v>
      </c>
      <c r="PJ20" s="430" t="s">
        <v>446</v>
      </c>
      <c r="PK20" s="430" t="s">
        <v>446</v>
      </c>
      <c r="PL20" s="430" t="s">
        <v>446</v>
      </c>
      <c r="PM20" s="430" t="s">
        <v>446</v>
      </c>
      <c r="PN20" s="430" t="s">
        <v>446</v>
      </c>
      <c r="PO20" s="430" t="s">
        <v>446</v>
      </c>
      <c r="PP20" s="430" t="s">
        <v>446</v>
      </c>
      <c r="PQ20" s="430" t="s">
        <v>446</v>
      </c>
      <c r="PR20" s="430" t="s">
        <v>446</v>
      </c>
      <c r="PS20" s="430" t="s">
        <v>446</v>
      </c>
      <c r="PT20" s="430" t="s">
        <v>446</v>
      </c>
      <c r="PU20" s="430" t="s">
        <v>446</v>
      </c>
      <c r="PV20" s="430" t="s">
        <v>446</v>
      </c>
      <c r="PW20" s="430" t="s">
        <v>446</v>
      </c>
      <c r="PX20" s="430" t="s">
        <v>446</v>
      </c>
      <c r="PY20" s="430" t="s">
        <v>446</v>
      </c>
      <c r="PZ20" s="430" t="s">
        <v>446</v>
      </c>
      <c r="QA20" s="430" t="s">
        <v>446</v>
      </c>
      <c r="QB20" s="430" t="s">
        <v>446</v>
      </c>
      <c r="QC20" s="430" t="s">
        <v>446</v>
      </c>
      <c r="QD20" s="430" t="s">
        <v>446</v>
      </c>
      <c r="QE20" s="430" t="s">
        <v>446</v>
      </c>
      <c r="QF20" s="430" t="s">
        <v>446</v>
      </c>
      <c r="QG20" s="430" t="s">
        <v>446</v>
      </c>
      <c r="QH20" s="430" t="s">
        <v>446</v>
      </c>
      <c r="QI20" s="430" t="s">
        <v>446</v>
      </c>
      <c r="QJ20" s="430" t="s">
        <v>446</v>
      </c>
      <c r="QK20" s="430" t="s">
        <v>446</v>
      </c>
      <c r="QL20" s="430" t="s">
        <v>446</v>
      </c>
      <c r="QM20" s="430" t="s">
        <v>446</v>
      </c>
      <c r="QN20" s="430" t="s">
        <v>446</v>
      </c>
      <c r="QO20" s="442" t="s">
        <v>446</v>
      </c>
    </row>
    <row r="21" spans="1:457" ht="30" customHeight="1" x14ac:dyDescent="0.25">
      <c r="A21" s="431" t="str">
        <f>Salas!A20</f>
        <v>K - Sala de Aula</v>
      </c>
      <c r="B21" s="429" t="s">
        <v>446</v>
      </c>
      <c r="C21" s="430" t="s">
        <v>446</v>
      </c>
      <c r="D21" s="430" t="s">
        <v>446</v>
      </c>
      <c r="E21" s="430" t="s">
        <v>446</v>
      </c>
      <c r="F21" s="430" t="s">
        <v>446</v>
      </c>
      <c r="G21" s="430" t="s">
        <v>446</v>
      </c>
      <c r="H21" s="430" t="s">
        <v>446</v>
      </c>
      <c r="I21" s="430" t="s">
        <v>446</v>
      </c>
      <c r="J21" s="430" t="s">
        <v>446</v>
      </c>
      <c r="K21" s="430" t="s">
        <v>446</v>
      </c>
      <c r="L21" s="430" t="s">
        <v>446</v>
      </c>
      <c r="M21" s="430" t="s">
        <v>446</v>
      </c>
      <c r="N21" s="430" t="s">
        <v>446</v>
      </c>
      <c r="O21" s="430" t="s">
        <v>446</v>
      </c>
      <c r="P21" s="430" t="s">
        <v>446</v>
      </c>
      <c r="Q21" s="430" t="s">
        <v>446</v>
      </c>
      <c r="R21" s="430" t="s">
        <v>446</v>
      </c>
      <c r="S21" s="430" t="s">
        <v>446</v>
      </c>
      <c r="T21" s="430" t="s">
        <v>446</v>
      </c>
      <c r="U21" s="430" t="s">
        <v>446</v>
      </c>
      <c r="V21" s="430" t="s">
        <v>446</v>
      </c>
      <c r="W21" s="430" t="s">
        <v>446</v>
      </c>
      <c r="X21" s="430" t="s">
        <v>446</v>
      </c>
      <c r="Y21" s="430" t="s">
        <v>446</v>
      </c>
      <c r="Z21" s="430" t="s">
        <v>446</v>
      </c>
      <c r="AA21" s="430" t="s">
        <v>446</v>
      </c>
      <c r="AB21" s="430" t="s">
        <v>446</v>
      </c>
      <c r="AC21" s="430" t="s">
        <v>446</v>
      </c>
      <c r="AD21" s="430" t="s">
        <v>446</v>
      </c>
      <c r="AE21" s="430" t="s">
        <v>446</v>
      </c>
      <c r="AF21" s="430" t="s">
        <v>446</v>
      </c>
      <c r="AG21" s="430" t="s">
        <v>446</v>
      </c>
      <c r="AH21" s="430" t="s">
        <v>446</v>
      </c>
      <c r="AI21" s="430" t="s">
        <v>446</v>
      </c>
      <c r="AJ21" s="430" t="s">
        <v>446</v>
      </c>
      <c r="AK21" s="430" t="s">
        <v>446</v>
      </c>
      <c r="AL21" s="430" t="s">
        <v>446</v>
      </c>
      <c r="AM21" s="430" t="s">
        <v>446</v>
      </c>
      <c r="AN21" s="430" t="s">
        <v>446</v>
      </c>
      <c r="AO21" s="430" t="s">
        <v>446</v>
      </c>
      <c r="AP21" s="430" t="s">
        <v>446</v>
      </c>
      <c r="AQ21" s="430" t="s">
        <v>446</v>
      </c>
      <c r="AR21" s="430" t="s">
        <v>446</v>
      </c>
      <c r="AS21" s="430" t="s">
        <v>446</v>
      </c>
      <c r="AT21" s="430" t="s">
        <v>446</v>
      </c>
      <c r="AU21" s="430" t="s">
        <v>446</v>
      </c>
      <c r="AV21" s="430" t="s">
        <v>446</v>
      </c>
      <c r="AW21" s="430" t="s">
        <v>446</v>
      </c>
      <c r="AX21" s="430" t="s">
        <v>446</v>
      </c>
      <c r="AY21" s="430" t="s">
        <v>446</v>
      </c>
      <c r="AZ21" s="430" t="s">
        <v>446</v>
      </c>
      <c r="BA21" s="430" t="s">
        <v>446</v>
      </c>
      <c r="BB21" s="430" t="s">
        <v>446</v>
      </c>
      <c r="BC21" s="430" t="s">
        <v>446</v>
      </c>
      <c r="BD21" s="430" t="s">
        <v>446</v>
      </c>
      <c r="BE21" s="430" t="s">
        <v>446</v>
      </c>
      <c r="BF21" s="430" t="s">
        <v>446</v>
      </c>
      <c r="BG21" s="430" t="s">
        <v>446</v>
      </c>
      <c r="BH21" s="430" t="s">
        <v>446</v>
      </c>
      <c r="BI21" s="430" t="s">
        <v>446</v>
      </c>
      <c r="BJ21" s="430" t="s">
        <v>446</v>
      </c>
      <c r="BK21" s="430" t="s">
        <v>446</v>
      </c>
      <c r="BL21" s="430" t="s">
        <v>446</v>
      </c>
      <c r="BM21" s="430" t="s">
        <v>446</v>
      </c>
      <c r="BN21" s="430" t="s">
        <v>446</v>
      </c>
      <c r="BO21" s="430" t="s">
        <v>446</v>
      </c>
      <c r="BP21" s="430" t="s">
        <v>446</v>
      </c>
      <c r="BQ21" s="430" t="s">
        <v>446</v>
      </c>
      <c r="BR21" s="430" t="s">
        <v>446</v>
      </c>
      <c r="BS21" s="430" t="s">
        <v>446</v>
      </c>
      <c r="BT21" s="430" t="s">
        <v>446</v>
      </c>
      <c r="BU21" s="430" t="s">
        <v>446</v>
      </c>
      <c r="BV21" s="430" t="s">
        <v>446</v>
      </c>
      <c r="BW21" s="430" t="s">
        <v>446</v>
      </c>
      <c r="BX21" s="430" t="s">
        <v>446</v>
      </c>
      <c r="BY21" s="430" t="s">
        <v>446</v>
      </c>
      <c r="BZ21" s="430" t="s">
        <v>446</v>
      </c>
      <c r="CA21" s="430" t="s">
        <v>446</v>
      </c>
      <c r="CB21" s="430" t="s">
        <v>446</v>
      </c>
      <c r="CC21" s="430" t="s">
        <v>446</v>
      </c>
      <c r="CD21" s="430" t="s">
        <v>446</v>
      </c>
      <c r="CE21" s="430" t="s">
        <v>446</v>
      </c>
      <c r="CF21" s="430" t="s">
        <v>446</v>
      </c>
      <c r="CG21" s="430" t="s">
        <v>446</v>
      </c>
      <c r="CH21" s="430" t="s">
        <v>446</v>
      </c>
      <c r="CI21" s="430" t="s">
        <v>446</v>
      </c>
      <c r="CJ21" s="430" t="s">
        <v>446</v>
      </c>
      <c r="CK21" s="430" t="s">
        <v>446</v>
      </c>
      <c r="CL21" s="430" t="s">
        <v>446</v>
      </c>
      <c r="CM21" s="430" t="s">
        <v>446</v>
      </c>
      <c r="CN21" s="430" t="s">
        <v>446</v>
      </c>
      <c r="CO21" s="430" t="s">
        <v>446</v>
      </c>
      <c r="CP21" s="430" t="s">
        <v>446</v>
      </c>
      <c r="CQ21" s="430" t="s">
        <v>446</v>
      </c>
      <c r="CR21" s="430" t="s">
        <v>446</v>
      </c>
      <c r="CS21" s="430" t="s">
        <v>446</v>
      </c>
      <c r="CT21" s="430" t="s">
        <v>446</v>
      </c>
      <c r="CU21" s="430" t="s">
        <v>446</v>
      </c>
      <c r="CV21" s="430" t="s">
        <v>446</v>
      </c>
      <c r="CW21" s="430" t="s">
        <v>446</v>
      </c>
      <c r="CX21" s="430" t="s">
        <v>446</v>
      </c>
      <c r="CY21" s="430" t="s">
        <v>446</v>
      </c>
      <c r="CZ21" s="430" t="s">
        <v>446</v>
      </c>
      <c r="DA21" s="430" t="s">
        <v>446</v>
      </c>
      <c r="DB21" s="430" t="s">
        <v>446</v>
      </c>
      <c r="DC21" s="430" t="s">
        <v>446</v>
      </c>
      <c r="DD21" s="430" t="s">
        <v>446</v>
      </c>
      <c r="DE21" s="430" t="s">
        <v>446</v>
      </c>
      <c r="DF21" s="430" t="s">
        <v>446</v>
      </c>
      <c r="DG21" s="430" t="s">
        <v>446</v>
      </c>
      <c r="DH21" s="430" t="s">
        <v>446</v>
      </c>
      <c r="DI21" s="430" t="s">
        <v>446</v>
      </c>
      <c r="DJ21" s="430" t="s">
        <v>446</v>
      </c>
      <c r="DK21" s="430" t="s">
        <v>446</v>
      </c>
      <c r="DL21" s="430" t="s">
        <v>446</v>
      </c>
      <c r="DM21" s="430" t="s">
        <v>446</v>
      </c>
      <c r="DN21" s="430" t="s">
        <v>446</v>
      </c>
      <c r="DO21" s="430" t="s">
        <v>446</v>
      </c>
      <c r="DP21" s="430" t="s">
        <v>446</v>
      </c>
      <c r="DQ21" s="430" t="s">
        <v>446</v>
      </c>
      <c r="DR21" s="430" t="s">
        <v>446</v>
      </c>
      <c r="DS21" s="430" t="s">
        <v>446</v>
      </c>
      <c r="DT21" s="430" t="s">
        <v>446</v>
      </c>
      <c r="DU21" s="430" t="s">
        <v>446</v>
      </c>
      <c r="DV21" s="430" t="s">
        <v>446</v>
      </c>
      <c r="DW21" s="430" t="s">
        <v>446</v>
      </c>
      <c r="DX21" s="430" t="s">
        <v>446</v>
      </c>
      <c r="DY21" s="430" t="s">
        <v>446</v>
      </c>
      <c r="DZ21" s="430" t="s">
        <v>446</v>
      </c>
      <c r="EA21" s="430" t="s">
        <v>446</v>
      </c>
      <c r="EB21" s="430" t="s">
        <v>446</v>
      </c>
      <c r="EC21" s="430" t="s">
        <v>446</v>
      </c>
      <c r="ED21" s="430" t="s">
        <v>446</v>
      </c>
      <c r="EE21" s="430" t="s">
        <v>446</v>
      </c>
      <c r="EF21" s="430" t="s">
        <v>446</v>
      </c>
      <c r="EG21" s="430" t="s">
        <v>446</v>
      </c>
      <c r="EH21" s="430" t="s">
        <v>446</v>
      </c>
      <c r="EI21" s="430" t="s">
        <v>446</v>
      </c>
      <c r="EJ21" s="430" t="s">
        <v>446</v>
      </c>
      <c r="EK21" s="430" t="s">
        <v>446</v>
      </c>
      <c r="EL21" s="430" t="s">
        <v>446</v>
      </c>
      <c r="EM21" s="430" t="s">
        <v>446</v>
      </c>
      <c r="EN21" s="430" t="s">
        <v>446</v>
      </c>
      <c r="EO21" s="430" t="s">
        <v>446</v>
      </c>
      <c r="EP21" s="430" t="s">
        <v>446</v>
      </c>
      <c r="EQ21" s="430" t="s">
        <v>446</v>
      </c>
      <c r="ER21" s="430" t="s">
        <v>446</v>
      </c>
      <c r="ES21" s="430" t="s">
        <v>446</v>
      </c>
      <c r="ET21" s="430" t="s">
        <v>446</v>
      </c>
      <c r="EU21" s="430" t="s">
        <v>446</v>
      </c>
      <c r="EV21" s="430" t="s">
        <v>446</v>
      </c>
      <c r="EW21" s="430" t="s">
        <v>446</v>
      </c>
      <c r="EX21" s="430" t="s">
        <v>446</v>
      </c>
      <c r="EY21" s="430" t="s">
        <v>446</v>
      </c>
      <c r="EZ21" s="430" t="s">
        <v>446</v>
      </c>
      <c r="FA21" s="430" t="s">
        <v>446</v>
      </c>
      <c r="FB21" s="430" t="s">
        <v>446</v>
      </c>
      <c r="FC21" s="430" t="s">
        <v>446</v>
      </c>
      <c r="FD21" s="430" t="s">
        <v>446</v>
      </c>
      <c r="FE21" s="430" t="s">
        <v>446</v>
      </c>
      <c r="FF21" s="430" t="s">
        <v>446</v>
      </c>
      <c r="FG21" s="430" t="s">
        <v>446</v>
      </c>
      <c r="FH21" s="430" t="s">
        <v>446</v>
      </c>
      <c r="FI21" s="430" t="s">
        <v>446</v>
      </c>
      <c r="FJ21" s="430" t="s">
        <v>446</v>
      </c>
      <c r="FK21" s="430" t="s">
        <v>446</v>
      </c>
      <c r="FL21" s="430" t="s">
        <v>446</v>
      </c>
      <c r="FM21" s="430" t="s">
        <v>446</v>
      </c>
      <c r="FN21" s="430" t="s">
        <v>446</v>
      </c>
      <c r="FO21" s="430" t="s">
        <v>446</v>
      </c>
      <c r="FP21" s="430" t="s">
        <v>446</v>
      </c>
      <c r="FQ21" s="430" t="s">
        <v>446</v>
      </c>
      <c r="FR21" s="430" t="s">
        <v>446</v>
      </c>
      <c r="FS21" s="430" t="s">
        <v>446</v>
      </c>
      <c r="FT21" s="430" t="s">
        <v>446</v>
      </c>
      <c r="FU21" s="430" t="s">
        <v>446</v>
      </c>
      <c r="FV21" s="430" t="s">
        <v>446</v>
      </c>
      <c r="FW21" s="430" t="s">
        <v>446</v>
      </c>
      <c r="FX21" s="430" t="s">
        <v>446</v>
      </c>
      <c r="FY21" s="430" t="s">
        <v>446</v>
      </c>
      <c r="FZ21" s="430" t="s">
        <v>446</v>
      </c>
      <c r="GA21" s="430" t="s">
        <v>446</v>
      </c>
      <c r="GB21" s="430" t="s">
        <v>446</v>
      </c>
      <c r="GC21" s="430" t="s">
        <v>446</v>
      </c>
      <c r="GD21" s="430" t="s">
        <v>446</v>
      </c>
      <c r="GE21" s="430" t="s">
        <v>446</v>
      </c>
      <c r="GF21" s="430" t="s">
        <v>446</v>
      </c>
      <c r="GG21" s="430" t="s">
        <v>446</v>
      </c>
      <c r="GH21" s="430" t="s">
        <v>446</v>
      </c>
      <c r="GI21" s="430" t="s">
        <v>446</v>
      </c>
      <c r="GJ21" s="430" t="s">
        <v>446</v>
      </c>
      <c r="GK21" s="430" t="s">
        <v>446</v>
      </c>
      <c r="GL21" s="430" t="s">
        <v>446</v>
      </c>
      <c r="GM21" s="430" t="s">
        <v>446</v>
      </c>
      <c r="GN21" s="430" t="s">
        <v>446</v>
      </c>
      <c r="GO21" s="430" t="s">
        <v>446</v>
      </c>
      <c r="GP21" s="430" t="s">
        <v>446</v>
      </c>
      <c r="GQ21" s="430" t="s">
        <v>446</v>
      </c>
      <c r="GR21" s="430" t="s">
        <v>446</v>
      </c>
      <c r="GS21" s="430" t="s">
        <v>446</v>
      </c>
      <c r="GT21" s="430" t="s">
        <v>446</v>
      </c>
      <c r="GU21" s="430" t="s">
        <v>446</v>
      </c>
      <c r="GV21" s="430" t="s">
        <v>446</v>
      </c>
      <c r="GW21" s="430" t="s">
        <v>446</v>
      </c>
      <c r="GX21" s="430" t="s">
        <v>446</v>
      </c>
      <c r="GY21" s="430" t="s">
        <v>446</v>
      </c>
      <c r="GZ21" s="430" t="s">
        <v>446</v>
      </c>
      <c r="HA21" s="430" t="s">
        <v>446</v>
      </c>
      <c r="HB21" s="430" t="s">
        <v>446</v>
      </c>
      <c r="HC21" s="430" t="s">
        <v>446</v>
      </c>
      <c r="HD21" s="430" t="s">
        <v>446</v>
      </c>
      <c r="HE21" s="430" t="s">
        <v>446</v>
      </c>
      <c r="HF21" s="430" t="s">
        <v>446</v>
      </c>
      <c r="HG21" s="430" t="s">
        <v>446</v>
      </c>
      <c r="HH21" s="430" t="s">
        <v>446</v>
      </c>
      <c r="HI21" s="430" t="s">
        <v>446</v>
      </c>
      <c r="HJ21" s="430" t="s">
        <v>446</v>
      </c>
      <c r="HK21" s="430" t="s">
        <v>446</v>
      </c>
      <c r="HL21" s="430" t="s">
        <v>446</v>
      </c>
      <c r="HM21" s="430" t="s">
        <v>446</v>
      </c>
      <c r="HN21" s="430" t="s">
        <v>446</v>
      </c>
      <c r="HO21" s="430" t="s">
        <v>446</v>
      </c>
      <c r="HP21" s="430" t="s">
        <v>446</v>
      </c>
      <c r="HQ21" s="430" t="s">
        <v>446</v>
      </c>
      <c r="HR21" s="430" t="s">
        <v>446</v>
      </c>
      <c r="HS21" s="430" t="s">
        <v>446</v>
      </c>
      <c r="HT21" s="430" t="s">
        <v>446</v>
      </c>
      <c r="HU21" s="430" t="s">
        <v>446</v>
      </c>
      <c r="HV21" s="430" t="s">
        <v>446</v>
      </c>
      <c r="HW21" s="430" t="s">
        <v>446</v>
      </c>
      <c r="HX21" s="430" t="s">
        <v>446</v>
      </c>
      <c r="HY21" s="430" t="s">
        <v>446</v>
      </c>
      <c r="HZ21" s="430" t="s">
        <v>446</v>
      </c>
      <c r="IA21" s="430" t="s">
        <v>446</v>
      </c>
      <c r="IB21" s="430" t="s">
        <v>446</v>
      </c>
      <c r="IC21" s="430" t="s">
        <v>446</v>
      </c>
      <c r="ID21" s="430" t="s">
        <v>446</v>
      </c>
      <c r="IE21" s="430" t="s">
        <v>446</v>
      </c>
      <c r="IF21" s="430" t="s">
        <v>446</v>
      </c>
      <c r="IG21" s="430" t="s">
        <v>446</v>
      </c>
      <c r="IH21" s="430" t="s">
        <v>446</v>
      </c>
      <c r="II21" s="430" t="s">
        <v>446</v>
      </c>
      <c r="IJ21" s="430" t="s">
        <v>446</v>
      </c>
      <c r="IK21" s="430" t="s">
        <v>446</v>
      </c>
      <c r="IL21" s="430" t="s">
        <v>446</v>
      </c>
      <c r="IM21" s="430" t="s">
        <v>446</v>
      </c>
      <c r="IN21" s="430" t="s">
        <v>446</v>
      </c>
      <c r="IO21" s="430" t="s">
        <v>446</v>
      </c>
      <c r="IP21" s="430" t="s">
        <v>446</v>
      </c>
      <c r="IQ21" s="430" t="s">
        <v>446</v>
      </c>
      <c r="IR21" s="430" t="s">
        <v>446</v>
      </c>
      <c r="IS21" s="430" t="s">
        <v>446</v>
      </c>
      <c r="IT21" s="430" t="s">
        <v>446</v>
      </c>
      <c r="IU21" s="430" t="s">
        <v>446</v>
      </c>
      <c r="IV21" s="430" t="s">
        <v>446</v>
      </c>
      <c r="IW21" s="430" t="s">
        <v>446</v>
      </c>
      <c r="IX21" s="430" t="s">
        <v>446</v>
      </c>
      <c r="IY21" s="430" t="s">
        <v>446</v>
      </c>
      <c r="IZ21" s="430" t="s">
        <v>446</v>
      </c>
      <c r="JA21" s="430" t="s">
        <v>446</v>
      </c>
      <c r="JB21" s="430" t="s">
        <v>446</v>
      </c>
      <c r="JC21" s="430" t="s">
        <v>446</v>
      </c>
      <c r="JD21" s="430" t="s">
        <v>446</v>
      </c>
      <c r="JE21" s="430" t="s">
        <v>446</v>
      </c>
      <c r="JF21" s="430" t="s">
        <v>446</v>
      </c>
      <c r="JG21" s="430" t="s">
        <v>446</v>
      </c>
      <c r="JH21" s="430" t="s">
        <v>446</v>
      </c>
      <c r="JI21" s="430" t="s">
        <v>446</v>
      </c>
      <c r="JJ21" s="430" t="s">
        <v>446</v>
      </c>
      <c r="JK21" s="430" t="s">
        <v>446</v>
      </c>
      <c r="JL21" s="430" t="s">
        <v>446</v>
      </c>
      <c r="JM21" s="430" t="s">
        <v>446</v>
      </c>
      <c r="JN21" s="430" t="s">
        <v>446</v>
      </c>
      <c r="JO21" s="430" t="s">
        <v>446</v>
      </c>
      <c r="JP21" s="430" t="s">
        <v>446</v>
      </c>
      <c r="JQ21" s="430" t="s">
        <v>446</v>
      </c>
      <c r="JR21" s="430" t="s">
        <v>446</v>
      </c>
      <c r="JS21" s="430" t="s">
        <v>446</v>
      </c>
      <c r="JT21" s="430" t="s">
        <v>446</v>
      </c>
      <c r="JU21" s="430" t="s">
        <v>446</v>
      </c>
      <c r="JV21" s="430" t="s">
        <v>446</v>
      </c>
      <c r="JW21" s="430" t="s">
        <v>446</v>
      </c>
      <c r="JX21" s="430" t="s">
        <v>446</v>
      </c>
      <c r="JY21" s="430" t="s">
        <v>446</v>
      </c>
      <c r="JZ21" s="430" t="s">
        <v>446</v>
      </c>
      <c r="KA21" s="430" t="s">
        <v>446</v>
      </c>
      <c r="KB21" s="430" t="s">
        <v>446</v>
      </c>
      <c r="KC21" s="430" t="s">
        <v>446</v>
      </c>
      <c r="KD21" s="430" t="s">
        <v>446</v>
      </c>
      <c r="KE21" s="430" t="s">
        <v>446</v>
      </c>
      <c r="KF21" s="430" t="s">
        <v>446</v>
      </c>
      <c r="KG21" s="430" t="s">
        <v>446</v>
      </c>
      <c r="KH21" s="430" t="s">
        <v>446</v>
      </c>
      <c r="KI21" s="430" t="s">
        <v>446</v>
      </c>
      <c r="KJ21" s="430" t="s">
        <v>446</v>
      </c>
      <c r="KK21" s="430" t="s">
        <v>446</v>
      </c>
      <c r="KL21" s="430" t="s">
        <v>446</v>
      </c>
      <c r="KM21" s="430" t="s">
        <v>446</v>
      </c>
      <c r="KN21" s="430" t="s">
        <v>446</v>
      </c>
      <c r="KO21" s="430" t="s">
        <v>446</v>
      </c>
      <c r="KP21" s="430" t="s">
        <v>446</v>
      </c>
      <c r="KQ21" s="430" t="s">
        <v>446</v>
      </c>
      <c r="KR21" s="430" t="s">
        <v>446</v>
      </c>
      <c r="KS21" s="430" t="s">
        <v>446</v>
      </c>
      <c r="KT21" s="430" t="s">
        <v>446</v>
      </c>
      <c r="KU21" s="430" t="s">
        <v>446</v>
      </c>
      <c r="KV21" s="430" t="s">
        <v>446</v>
      </c>
      <c r="KW21" s="430" t="s">
        <v>446</v>
      </c>
      <c r="KX21" s="430" t="s">
        <v>446</v>
      </c>
      <c r="KY21" s="430" t="s">
        <v>446</v>
      </c>
      <c r="KZ21" s="430" t="s">
        <v>446</v>
      </c>
      <c r="LA21" s="430" t="s">
        <v>446</v>
      </c>
      <c r="LB21" s="430" t="s">
        <v>446</v>
      </c>
      <c r="LC21" s="430" t="s">
        <v>446</v>
      </c>
      <c r="LD21" s="430" t="s">
        <v>446</v>
      </c>
      <c r="LE21" s="430" t="s">
        <v>446</v>
      </c>
      <c r="LF21" s="430" t="s">
        <v>446</v>
      </c>
      <c r="LG21" s="430" t="s">
        <v>446</v>
      </c>
      <c r="LH21" s="430" t="s">
        <v>446</v>
      </c>
      <c r="LI21" s="430" t="s">
        <v>446</v>
      </c>
      <c r="LJ21" s="430" t="s">
        <v>446</v>
      </c>
      <c r="LK21" s="430" t="s">
        <v>446</v>
      </c>
      <c r="LL21" s="430" t="s">
        <v>446</v>
      </c>
      <c r="LM21" s="430" t="s">
        <v>446</v>
      </c>
      <c r="LN21" s="430" t="s">
        <v>446</v>
      </c>
      <c r="LO21" s="430" t="s">
        <v>446</v>
      </c>
      <c r="LP21" s="430" t="s">
        <v>446</v>
      </c>
      <c r="LQ21" s="430" t="s">
        <v>446</v>
      </c>
      <c r="LR21" s="430" t="s">
        <v>446</v>
      </c>
      <c r="LS21" s="430" t="s">
        <v>446</v>
      </c>
      <c r="LT21" s="430" t="s">
        <v>446</v>
      </c>
      <c r="LU21" s="430" t="s">
        <v>446</v>
      </c>
      <c r="LV21" s="430" t="s">
        <v>446</v>
      </c>
      <c r="LW21" s="430" t="s">
        <v>446</v>
      </c>
      <c r="LX21" s="430" t="s">
        <v>446</v>
      </c>
      <c r="LY21" s="430" t="s">
        <v>446</v>
      </c>
      <c r="LZ21" s="430" t="s">
        <v>446</v>
      </c>
      <c r="MA21" s="430" t="s">
        <v>446</v>
      </c>
      <c r="MB21" s="430" t="s">
        <v>446</v>
      </c>
      <c r="MC21" s="430" t="s">
        <v>446</v>
      </c>
      <c r="MD21" s="430" t="s">
        <v>446</v>
      </c>
      <c r="ME21" s="430" t="s">
        <v>446</v>
      </c>
      <c r="MF21" s="430" t="s">
        <v>446</v>
      </c>
      <c r="MG21" s="430" t="s">
        <v>446</v>
      </c>
      <c r="MH21" s="430" t="s">
        <v>446</v>
      </c>
      <c r="MI21" s="430" t="s">
        <v>446</v>
      </c>
      <c r="MJ21" s="430" t="s">
        <v>446</v>
      </c>
      <c r="MK21" s="430" t="s">
        <v>446</v>
      </c>
      <c r="ML21" s="430" t="s">
        <v>446</v>
      </c>
      <c r="MM21" s="430" t="s">
        <v>446</v>
      </c>
      <c r="MN21" s="430" t="s">
        <v>446</v>
      </c>
      <c r="MO21" s="430" t="s">
        <v>446</v>
      </c>
      <c r="MP21" s="430" t="s">
        <v>446</v>
      </c>
      <c r="MQ21" s="430" t="s">
        <v>446</v>
      </c>
      <c r="MR21" s="430" t="s">
        <v>446</v>
      </c>
      <c r="MS21" s="430" t="s">
        <v>446</v>
      </c>
      <c r="MT21" s="430" t="s">
        <v>446</v>
      </c>
      <c r="MU21" s="430" t="s">
        <v>446</v>
      </c>
      <c r="MV21" s="430" t="s">
        <v>446</v>
      </c>
      <c r="MW21" s="430" t="s">
        <v>446</v>
      </c>
      <c r="MX21" s="430" t="s">
        <v>446</v>
      </c>
      <c r="MY21" s="430" t="s">
        <v>446</v>
      </c>
      <c r="MZ21" s="430" t="s">
        <v>446</v>
      </c>
      <c r="NA21" s="430" t="s">
        <v>446</v>
      </c>
      <c r="NB21" s="430" t="s">
        <v>446</v>
      </c>
      <c r="NC21" s="430" t="s">
        <v>446</v>
      </c>
      <c r="ND21" s="430" t="s">
        <v>446</v>
      </c>
      <c r="NE21" s="430" t="s">
        <v>446</v>
      </c>
      <c r="NF21" s="430" t="s">
        <v>446</v>
      </c>
      <c r="NG21" s="430" t="s">
        <v>446</v>
      </c>
      <c r="NH21" s="430" t="s">
        <v>446</v>
      </c>
      <c r="NI21" s="430" t="s">
        <v>446</v>
      </c>
      <c r="NJ21" s="430" t="s">
        <v>446</v>
      </c>
      <c r="NK21" s="430" t="s">
        <v>446</v>
      </c>
      <c r="NL21" s="430" t="s">
        <v>446</v>
      </c>
      <c r="NM21" s="430" t="s">
        <v>446</v>
      </c>
      <c r="NN21" s="430" t="s">
        <v>446</v>
      </c>
      <c r="NO21" s="430" t="s">
        <v>446</v>
      </c>
      <c r="NP21" s="430" t="s">
        <v>446</v>
      </c>
      <c r="NQ21" s="430" t="s">
        <v>446</v>
      </c>
      <c r="NR21" s="430" t="s">
        <v>446</v>
      </c>
      <c r="NS21" s="430" t="s">
        <v>446</v>
      </c>
      <c r="NT21" s="430" t="s">
        <v>446</v>
      </c>
      <c r="NU21" s="430" t="s">
        <v>446</v>
      </c>
      <c r="NV21" s="430" t="s">
        <v>446</v>
      </c>
      <c r="NW21" s="430" t="s">
        <v>446</v>
      </c>
      <c r="NX21" s="430" t="s">
        <v>446</v>
      </c>
      <c r="NY21" s="430" t="s">
        <v>446</v>
      </c>
      <c r="NZ21" s="430" t="s">
        <v>446</v>
      </c>
      <c r="OA21" s="430" t="s">
        <v>446</v>
      </c>
      <c r="OB21" s="430" t="s">
        <v>446</v>
      </c>
      <c r="OC21" s="430" t="s">
        <v>446</v>
      </c>
      <c r="OD21" s="430" t="s">
        <v>446</v>
      </c>
      <c r="OE21" s="430" t="s">
        <v>446</v>
      </c>
      <c r="OF21" s="430" t="s">
        <v>446</v>
      </c>
      <c r="OG21" s="430" t="s">
        <v>446</v>
      </c>
      <c r="OH21" s="430" t="s">
        <v>446</v>
      </c>
      <c r="OI21" s="430" t="s">
        <v>446</v>
      </c>
      <c r="OJ21" s="430" t="s">
        <v>446</v>
      </c>
      <c r="OK21" s="430" t="s">
        <v>446</v>
      </c>
      <c r="OL21" s="430" t="s">
        <v>446</v>
      </c>
      <c r="OM21" s="430" t="s">
        <v>446</v>
      </c>
      <c r="ON21" s="430" t="s">
        <v>446</v>
      </c>
      <c r="OO21" s="430" t="s">
        <v>446</v>
      </c>
      <c r="OP21" s="430" t="s">
        <v>446</v>
      </c>
      <c r="OQ21" s="430" t="s">
        <v>446</v>
      </c>
      <c r="OR21" s="430" t="s">
        <v>446</v>
      </c>
      <c r="OS21" s="430" t="s">
        <v>446</v>
      </c>
      <c r="OT21" s="430" t="s">
        <v>446</v>
      </c>
      <c r="OU21" s="430" t="s">
        <v>446</v>
      </c>
      <c r="OV21" s="430" t="s">
        <v>446</v>
      </c>
      <c r="OW21" s="430" t="s">
        <v>446</v>
      </c>
      <c r="OX21" s="430" t="s">
        <v>446</v>
      </c>
      <c r="OY21" s="430" t="s">
        <v>446</v>
      </c>
      <c r="OZ21" s="430" t="s">
        <v>446</v>
      </c>
      <c r="PA21" s="430" t="s">
        <v>446</v>
      </c>
      <c r="PB21" s="430" t="s">
        <v>446</v>
      </c>
      <c r="PC21" s="430" t="s">
        <v>446</v>
      </c>
      <c r="PD21" s="430" t="s">
        <v>446</v>
      </c>
      <c r="PE21" s="430" t="s">
        <v>446</v>
      </c>
      <c r="PF21" s="430" t="s">
        <v>446</v>
      </c>
      <c r="PG21" s="430" t="s">
        <v>446</v>
      </c>
      <c r="PH21" s="430" t="s">
        <v>446</v>
      </c>
      <c r="PI21" s="430" t="s">
        <v>446</v>
      </c>
      <c r="PJ21" s="430" t="s">
        <v>446</v>
      </c>
      <c r="PK21" s="430" t="s">
        <v>446</v>
      </c>
      <c r="PL21" s="430" t="s">
        <v>446</v>
      </c>
      <c r="PM21" s="430" t="s">
        <v>446</v>
      </c>
      <c r="PN21" s="430" t="s">
        <v>446</v>
      </c>
      <c r="PO21" s="430" t="s">
        <v>446</v>
      </c>
      <c r="PP21" s="430" t="s">
        <v>446</v>
      </c>
      <c r="PQ21" s="430" t="s">
        <v>446</v>
      </c>
      <c r="PR21" s="430" t="s">
        <v>446</v>
      </c>
      <c r="PS21" s="430" t="s">
        <v>446</v>
      </c>
      <c r="PT21" s="430" t="s">
        <v>446</v>
      </c>
      <c r="PU21" s="430" t="s">
        <v>446</v>
      </c>
      <c r="PV21" s="430" t="s">
        <v>446</v>
      </c>
      <c r="PW21" s="430" t="s">
        <v>446</v>
      </c>
      <c r="PX21" s="430" t="s">
        <v>446</v>
      </c>
      <c r="PY21" s="430" t="s">
        <v>446</v>
      </c>
      <c r="PZ21" s="430" t="s">
        <v>446</v>
      </c>
      <c r="QA21" s="430" t="s">
        <v>446</v>
      </c>
      <c r="QB21" s="430" t="s">
        <v>446</v>
      </c>
      <c r="QC21" s="430" t="s">
        <v>446</v>
      </c>
      <c r="QD21" s="430" t="s">
        <v>446</v>
      </c>
      <c r="QE21" s="430" t="s">
        <v>446</v>
      </c>
      <c r="QF21" s="430" t="s">
        <v>446</v>
      </c>
      <c r="QG21" s="430" t="s">
        <v>446</v>
      </c>
      <c r="QH21" s="430" t="s">
        <v>446</v>
      </c>
      <c r="QI21" s="430" t="s">
        <v>446</v>
      </c>
      <c r="QJ21" s="430" t="s">
        <v>446</v>
      </c>
      <c r="QK21" s="430" t="s">
        <v>446</v>
      </c>
      <c r="QL21" s="430" t="s">
        <v>446</v>
      </c>
      <c r="QM21" s="430" t="s">
        <v>446</v>
      </c>
      <c r="QN21" s="430" t="s">
        <v>446</v>
      </c>
      <c r="QO21" s="442" t="s">
        <v>446</v>
      </c>
    </row>
    <row r="22" spans="1:457" ht="30" customHeight="1" x14ac:dyDescent="0.25">
      <c r="A22" s="431" t="str">
        <f>Salas!A21</f>
        <v>M - Laboratório de Elétrica</v>
      </c>
      <c r="B22" s="429" t="s">
        <v>446</v>
      </c>
      <c r="C22" s="430" t="s">
        <v>446</v>
      </c>
      <c r="D22" s="430" t="s">
        <v>446</v>
      </c>
      <c r="E22" s="430" t="s">
        <v>446</v>
      </c>
      <c r="F22" s="432" t="s">
        <v>88</v>
      </c>
      <c r="G22" s="430" t="s">
        <v>446</v>
      </c>
      <c r="H22" s="430" t="s">
        <v>446</v>
      </c>
      <c r="I22" s="430" t="s">
        <v>446</v>
      </c>
      <c r="J22" s="430" t="s">
        <v>446</v>
      </c>
      <c r="K22" s="430" t="s">
        <v>446</v>
      </c>
      <c r="L22" s="430" t="s">
        <v>446</v>
      </c>
      <c r="M22" s="430" t="s">
        <v>446</v>
      </c>
      <c r="N22" s="430" t="s">
        <v>446</v>
      </c>
      <c r="O22" s="430" t="s">
        <v>446</v>
      </c>
      <c r="P22" s="430" t="s">
        <v>446</v>
      </c>
      <c r="Q22" s="430" t="s">
        <v>446</v>
      </c>
      <c r="R22" s="430" t="s">
        <v>446</v>
      </c>
      <c r="S22" s="430" t="s">
        <v>446</v>
      </c>
      <c r="T22" s="430" t="s">
        <v>446</v>
      </c>
      <c r="U22" s="432" t="s">
        <v>88</v>
      </c>
      <c r="V22" s="430" t="s">
        <v>446</v>
      </c>
      <c r="W22" s="430" t="s">
        <v>446</v>
      </c>
      <c r="X22" s="430" t="s">
        <v>446</v>
      </c>
      <c r="Y22" s="430" t="s">
        <v>446</v>
      </c>
      <c r="Z22" s="430" t="s">
        <v>446</v>
      </c>
      <c r="AA22" s="432" t="s">
        <v>88</v>
      </c>
      <c r="AB22" s="430" t="s">
        <v>446</v>
      </c>
      <c r="AC22" s="430" t="s">
        <v>446</v>
      </c>
      <c r="AD22" s="430" t="s">
        <v>446</v>
      </c>
      <c r="AE22" s="430" t="s">
        <v>446</v>
      </c>
      <c r="AF22" s="430" t="s">
        <v>446</v>
      </c>
      <c r="AG22" s="430" t="s">
        <v>446</v>
      </c>
      <c r="AH22" s="430" t="s">
        <v>446</v>
      </c>
      <c r="AI22" s="430" t="s">
        <v>446</v>
      </c>
      <c r="AJ22" s="430" t="s">
        <v>446</v>
      </c>
      <c r="AK22" s="430" t="s">
        <v>446</v>
      </c>
      <c r="AL22" s="430" t="s">
        <v>446</v>
      </c>
      <c r="AM22" s="430" t="s">
        <v>446</v>
      </c>
      <c r="AN22" s="430" t="s">
        <v>446</v>
      </c>
      <c r="AO22" s="430" t="s">
        <v>446</v>
      </c>
      <c r="AP22" s="432" t="s">
        <v>88</v>
      </c>
      <c r="AQ22" s="430" t="s">
        <v>446</v>
      </c>
      <c r="AR22" s="430" t="s">
        <v>446</v>
      </c>
      <c r="AS22" s="430" t="s">
        <v>446</v>
      </c>
      <c r="AT22" s="430" t="s">
        <v>446</v>
      </c>
      <c r="AU22" s="430" t="s">
        <v>446</v>
      </c>
      <c r="AV22" s="432" t="s">
        <v>88</v>
      </c>
      <c r="AW22" s="430" t="s">
        <v>446</v>
      </c>
      <c r="AX22" s="430" t="s">
        <v>446</v>
      </c>
      <c r="AY22" s="430" t="s">
        <v>446</v>
      </c>
      <c r="AZ22" s="430" t="s">
        <v>446</v>
      </c>
      <c r="BA22" s="430" t="s">
        <v>446</v>
      </c>
      <c r="BB22" s="430" t="s">
        <v>446</v>
      </c>
      <c r="BC22" s="430" t="s">
        <v>446</v>
      </c>
      <c r="BD22" s="430" t="s">
        <v>446</v>
      </c>
      <c r="BE22" s="430" t="s">
        <v>446</v>
      </c>
      <c r="BF22" s="430" t="s">
        <v>446</v>
      </c>
      <c r="BG22" s="430" t="s">
        <v>446</v>
      </c>
      <c r="BH22" s="430" t="s">
        <v>446</v>
      </c>
      <c r="BI22" s="430" t="s">
        <v>446</v>
      </c>
      <c r="BJ22" s="430" t="s">
        <v>446</v>
      </c>
      <c r="BK22" s="432" t="s">
        <v>89</v>
      </c>
      <c r="BL22" s="430" t="s">
        <v>446</v>
      </c>
      <c r="BM22" s="430" t="s">
        <v>446</v>
      </c>
      <c r="BN22" s="432" t="s">
        <v>354</v>
      </c>
      <c r="BO22" s="433" t="s">
        <v>88</v>
      </c>
      <c r="BP22" s="430" t="s">
        <v>446</v>
      </c>
      <c r="BQ22" s="432" t="s">
        <v>89</v>
      </c>
      <c r="BR22" s="433" t="s">
        <v>88</v>
      </c>
      <c r="BS22" s="430" t="s">
        <v>446</v>
      </c>
      <c r="BT22" s="432" t="s">
        <v>354</v>
      </c>
      <c r="BU22" s="430" t="s">
        <v>446</v>
      </c>
      <c r="BV22" s="430" t="s">
        <v>446</v>
      </c>
      <c r="BW22" s="430" t="s">
        <v>446</v>
      </c>
      <c r="BX22" s="430" t="s">
        <v>446</v>
      </c>
      <c r="BY22" s="430" t="s">
        <v>446</v>
      </c>
      <c r="BZ22" s="430" t="s">
        <v>446</v>
      </c>
      <c r="CA22" s="430" t="s">
        <v>446</v>
      </c>
      <c r="CB22" s="430" t="s">
        <v>446</v>
      </c>
      <c r="CC22" s="430" t="s">
        <v>446</v>
      </c>
      <c r="CD22" s="430" t="s">
        <v>446</v>
      </c>
      <c r="CE22" s="430" t="s">
        <v>446</v>
      </c>
      <c r="CF22" s="432" t="s">
        <v>89</v>
      </c>
      <c r="CG22" s="433" t="s">
        <v>88</v>
      </c>
      <c r="CH22" s="430" t="s">
        <v>446</v>
      </c>
      <c r="CI22" s="432" t="s">
        <v>354</v>
      </c>
      <c r="CJ22" s="433" t="s">
        <v>88</v>
      </c>
      <c r="CK22" s="430" t="s">
        <v>446</v>
      </c>
      <c r="CL22" s="432" t="s">
        <v>89</v>
      </c>
      <c r="CM22" s="433" t="s">
        <v>88</v>
      </c>
      <c r="CN22" s="430" t="s">
        <v>446</v>
      </c>
      <c r="CO22" s="432" t="s">
        <v>354</v>
      </c>
      <c r="CP22" s="430" t="s">
        <v>446</v>
      </c>
      <c r="CQ22" s="430" t="s">
        <v>446</v>
      </c>
      <c r="CR22" s="430" t="s">
        <v>446</v>
      </c>
      <c r="CS22" s="430" t="s">
        <v>446</v>
      </c>
      <c r="CT22" s="430" t="s">
        <v>446</v>
      </c>
      <c r="CU22" s="430" t="s">
        <v>446</v>
      </c>
      <c r="CV22" s="430" t="s">
        <v>446</v>
      </c>
      <c r="CW22" s="430" t="s">
        <v>446</v>
      </c>
      <c r="CX22" s="430" t="s">
        <v>446</v>
      </c>
      <c r="CY22" s="430" t="s">
        <v>446</v>
      </c>
      <c r="CZ22" s="430" t="s">
        <v>446</v>
      </c>
      <c r="DA22" s="432" t="s">
        <v>89</v>
      </c>
      <c r="DB22" s="433" t="s">
        <v>88</v>
      </c>
      <c r="DC22" s="430" t="s">
        <v>446</v>
      </c>
      <c r="DD22" s="432" t="s">
        <v>354</v>
      </c>
      <c r="DE22" s="433" t="s">
        <v>88</v>
      </c>
      <c r="DF22" s="430" t="s">
        <v>446</v>
      </c>
      <c r="DG22" s="432" t="s">
        <v>89</v>
      </c>
      <c r="DH22" s="433" t="s">
        <v>88</v>
      </c>
      <c r="DI22" s="430" t="s">
        <v>446</v>
      </c>
      <c r="DJ22" s="432" t="s">
        <v>354</v>
      </c>
      <c r="DK22" s="430" t="s">
        <v>446</v>
      </c>
      <c r="DL22" s="430" t="s">
        <v>446</v>
      </c>
      <c r="DM22" s="430" t="s">
        <v>446</v>
      </c>
      <c r="DN22" s="430" t="s">
        <v>446</v>
      </c>
      <c r="DO22" s="430" t="s">
        <v>446</v>
      </c>
      <c r="DP22" s="430" t="s">
        <v>446</v>
      </c>
      <c r="DQ22" s="430" t="s">
        <v>446</v>
      </c>
      <c r="DR22" s="430" t="s">
        <v>446</v>
      </c>
      <c r="DS22" s="430" t="s">
        <v>446</v>
      </c>
      <c r="DT22" s="430" t="s">
        <v>446</v>
      </c>
      <c r="DU22" s="430" t="s">
        <v>446</v>
      </c>
      <c r="DV22" s="432" t="s">
        <v>89</v>
      </c>
      <c r="DW22" s="433" t="s">
        <v>88</v>
      </c>
      <c r="DX22" s="430" t="s">
        <v>446</v>
      </c>
      <c r="DY22" s="432" t="s">
        <v>354</v>
      </c>
      <c r="DZ22" s="433" t="s">
        <v>88</v>
      </c>
      <c r="EA22" s="430" t="s">
        <v>446</v>
      </c>
      <c r="EB22" s="432" t="s">
        <v>89</v>
      </c>
      <c r="EC22" s="433" t="s">
        <v>88</v>
      </c>
      <c r="ED22" s="430" t="s">
        <v>446</v>
      </c>
      <c r="EE22" s="432" t="s">
        <v>354</v>
      </c>
      <c r="EF22" s="430" t="s">
        <v>446</v>
      </c>
      <c r="EG22" s="430" t="s">
        <v>446</v>
      </c>
      <c r="EH22" s="430" t="s">
        <v>446</v>
      </c>
      <c r="EI22" s="430" t="s">
        <v>446</v>
      </c>
      <c r="EJ22" s="430" t="s">
        <v>446</v>
      </c>
      <c r="EK22" s="430" t="s">
        <v>446</v>
      </c>
      <c r="EL22" s="430" t="s">
        <v>446</v>
      </c>
      <c r="EM22" s="430" t="s">
        <v>446</v>
      </c>
      <c r="EN22" s="430" t="s">
        <v>446</v>
      </c>
      <c r="EO22" s="430" t="s">
        <v>446</v>
      </c>
      <c r="EP22" s="430" t="s">
        <v>446</v>
      </c>
      <c r="EQ22" s="432" t="s">
        <v>89</v>
      </c>
      <c r="ER22" s="433" t="s">
        <v>88</v>
      </c>
      <c r="ES22" s="430" t="s">
        <v>446</v>
      </c>
      <c r="ET22" s="432" t="s">
        <v>354</v>
      </c>
      <c r="EU22" s="433" t="s">
        <v>88</v>
      </c>
      <c r="EV22" s="430" t="s">
        <v>446</v>
      </c>
      <c r="EW22" s="432" t="s">
        <v>89</v>
      </c>
      <c r="EX22" s="433" t="s">
        <v>88</v>
      </c>
      <c r="EY22" s="430" t="s">
        <v>446</v>
      </c>
      <c r="EZ22" s="432" t="s">
        <v>354</v>
      </c>
      <c r="FA22" s="430" t="s">
        <v>446</v>
      </c>
      <c r="FB22" s="430" t="s">
        <v>446</v>
      </c>
      <c r="FC22" s="430" t="s">
        <v>446</v>
      </c>
      <c r="FD22" s="430" t="s">
        <v>446</v>
      </c>
      <c r="FE22" s="430" t="s">
        <v>446</v>
      </c>
      <c r="FF22" s="430" t="s">
        <v>446</v>
      </c>
      <c r="FG22" s="430" t="s">
        <v>446</v>
      </c>
      <c r="FH22" s="430" t="s">
        <v>446</v>
      </c>
      <c r="FI22" s="430" t="s">
        <v>446</v>
      </c>
      <c r="FJ22" s="430" t="s">
        <v>446</v>
      </c>
      <c r="FK22" s="430" t="s">
        <v>446</v>
      </c>
      <c r="FL22" s="432" t="s">
        <v>89</v>
      </c>
      <c r="FM22" s="433" t="s">
        <v>88</v>
      </c>
      <c r="FN22" s="430" t="s">
        <v>446</v>
      </c>
      <c r="FO22" s="432" t="s">
        <v>354</v>
      </c>
      <c r="FP22" s="433" t="s">
        <v>88</v>
      </c>
      <c r="FQ22" s="430" t="s">
        <v>446</v>
      </c>
      <c r="FR22" s="432" t="s">
        <v>89</v>
      </c>
      <c r="FS22" s="433" t="s">
        <v>88</v>
      </c>
      <c r="FT22" s="430" t="s">
        <v>446</v>
      </c>
      <c r="FU22" s="432" t="s">
        <v>354</v>
      </c>
      <c r="FV22" s="430" t="s">
        <v>446</v>
      </c>
      <c r="FW22" s="430" t="s">
        <v>446</v>
      </c>
      <c r="FX22" s="430" t="s">
        <v>446</v>
      </c>
      <c r="FY22" s="430" t="s">
        <v>446</v>
      </c>
      <c r="FZ22" s="430" t="s">
        <v>446</v>
      </c>
      <c r="GA22" s="430" t="s">
        <v>446</v>
      </c>
      <c r="GB22" s="430" t="s">
        <v>446</v>
      </c>
      <c r="GC22" s="430" t="s">
        <v>446</v>
      </c>
      <c r="GD22" s="430" t="s">
        <v>446</v>
      </c>
      <c r="GE22" s="430" t="s">
        <v>446</v>
      </c>
      <c r="GF22" s="430" t="s">
        <v>446</v>
      </c>
      <c r="GG22" s="432" t="s">
        <v>89</v>
      </c>
      <c r="GH22" s="433" t="s">
        <v>88</v>
      </c>
      <c r="GI22" s="430" t="s">
        <v>446</v>
      </c>
      <c r="GJ22" s="432" t="s">
        <v>354</v>
      </c>
      <c r="GK22" s="433" t="s">
        <v>88</v>
      </c>
      <c r="GL22" s="430" t="s">
        <v>446</v>
      </c>
      <c r="GM22" s="432" t="s">
        <v>89</v>
      </c>
      <c r="GN22" s="433" t="s">
        <v>88</v>
      </c>
      <c r="GO22" s="430" t="s">
        <v>446</v>
      </c>
      <c r="GP22" s="432" t="s">
        <v>354</v>
      </c>
      <c r="GQ22" s="430" t="s">
        <v>446</v>
      </c>
      <c r="GR22" s="430" t="s">
        <v>446</v>
      </c>
      <c r="GS22" s="430" t="s">
        <v>446</v>
      </c>
      <c r="GT22" s="430" t="s">
        <v>446</v>
      </c>
      <c r="GU22" s="430" t="s">
        <v>446</v>
      </c>
      <c r="GV22" s="430" t="s">
        <v>446</v>
      </c>
      <c r="GW22" s="430" t="s">
        <v>446</v>
      </c>
      <c r="GX22" s="430" t="s">
        <v>446</v>
      </c>
      <c r="GY22" s="430" t="s">
        <v>446</v>
      </c>
      <c r="GZ22" s="430" t="s">
        <v>446</v>
      </c>
      <c r="HA22" s="430" t="s">
        <v>446</v>
      </c>
      <c r="HB22" s="432" t="s">
        <v>89</v>
      </c>
      <c r="HC22" s="433" t="s">
        <v>88</v>
      </c>
      <c r="HD22" s="430" t="s">
        <v>446</v>
      </c>
      <c r="HE22" s="432" t="s">
        <v>354</v>
      </c>
      <c r="HF22" s="433" t="s">
        <v>88</v>
      </c>
      <c r="HG22" s="430" t="s">
        <v>446</v>
      </c>
      <c r="HH22" s="432" t="s">
        <v>89</v>
      </c>
      <c r="HI22" s="433" t="s">
        <v>88</v>
      </c>
      <c r="HJ22" s="430" t="s">
        <v>446</v>
      </c>
      <c r="HK22" s="432" t="s">
        <v>354</v>
      </c>
      <c r="HL22" s="430" t="s">
        <v>446</v>
      </c>
      <c r="HM22" s="430" t="s">
        <v>446</v>
      </c>
      <c r="HN22" s="430" t="s">
        <v>446</v>
      </c>
      <c r="HO22" s="430" t="s">
        <v>446</v>
      </c>
      <c r="HP22" s="430" t="s">
        <v>446</v>
      </c>
      <c r="HQ22" s="430" t="s">
        <v>446</v>
      </c>
      <c r="HR22" s="430" t="s">
        <v>446</v>
      </c>
      <c r="HS22" s="430" t="s">
        <v>446</v>
      </c>
      <c r="HT22" s="430" t="s">
        <v>446</v>
      </c>
      <c r="HU22" s="430" t="s">
        <v>446</v>
      </c>
      <c r="HV22" s="430" t="s">
        <v>446</v>
      </c>
      <c r="HW22" s="432" t="s">
        <v>89</v>
      </c>
      <c r="HX22" s="433" t="s">
        <v>88</v>
      </c>
      <c r="HY22" s="430" t="s">
        <v>446</v>
      </c>
      <c r="HZ22" s="432" t="s">
        <v>354</v>
      </c>
      <c r="IA22" s="433" t="s">
        <v>88</v>
      </c>
      <c r="IB22" s="430" t="s">
        <v>446</v>
      </c>
      <c r="IC22" s="432" t="s">
        <v>89</v>
      </c>
      <c r="ID22" s="433" t="s">
        <v>88</v>
      </c>
      <c r="IE22" s="430" t="s">
        <v>446</v>
      </c>
      <c r="IF22" s="432" t="s">
        <v>354</v>
      </c>
      <c r="IG22" s="430" t="s">
        <v>446</v>
      </c>
      <c r="IH22" s="430" t="s">
        <v>446</v>
      </c>
      <c r="II22" s="430" t="s">
        <v>446</v>
      </c>
      <c r="IJ22" s="430" t="s">
        <v>446</v>
      </c>
      <c r="IK22" s="430" t="s">
        <v>446</v>
      </c>
      <c r="IL22" s="430" t="s">
        <v>446</v>
      </c>
      <c r="IM22" s="430" t="s">
        <v>446</v>
      </c>
      <c r="IN22" s="430" t="s">
        <v>446</v>
      </c>
      <c r="IO22" s="430" t="s">
        <v>446</v>
      </c>
      <c r="IP22" s="430" t="s">
        <v>446</v>
      </c>
      <c r="IQ22" s="430" t="s">
        <v>446</v>
      </c>
      <c r="IR22" s="432" t="s">
        <v>89</v>
      </c>
      <c r="IS22" s="433" t="s">
        <v>88</v>
      </c>
      <c r="IT22" s="430" t="s">
        <v>446</v>
      </c>
      <c r="IU22" s="432" t="s">
        <v>354</v>
      </c>
      <c r="IV22" s="433" t="s">
        <v>88</v>
      </c>
      <c r="IW22" s="430" t="s">
        <v>446</v>
      </c>
      <c r="IX22" s="432" t="s">
        <v>89</v>
      </c>
      <c r="IY22" s="433" t="s">
        <v>88</v>
      </c>
      <c r="IZ22" s="430" t="s">
        <v>446</v>
      </c>
      <c r="JA22" s="432" t="s">
        <v>354</v>
      </c>
      <c r="JB22" s="430" t="s">
        <v>446</v>
      </c>
      <c r="JC22" s="430" t="s">
        <v>446</v>
      </c>
      <c r="JD22" s="430" t="s">
        <v>446</v>
      </c>
      <c r="JE22" s="430" t="s">
        <v>446</v>
      </c>
      <c r="JF22" s="430" t="s">
        <v>446</v>
      </c>
      <c r="JG22" s="430" t="s">
        <v>446</v>
      </c>
      <c r="JH22" s="430" t="s">
        <v>446</v>
      </c>
      <c r="JI22" s="430" t="s">
        <v>446</v>
      </c>
      <c r="JJ22" s="430" t="s">
        <v>446</v>
      </c>
      <c r="JK22" s="430" t="s">
        <v>446</v>
      </c>
      <c r="JL22" s="430" t="s">
        <v>446</v>
      </c>
      <c r="JM22" s="432" t="s">
        <v>89</v>
      </c>
      <c r="JN22" s="433" t="s">
        <v>88</v>
      </c>
      <c r="JO22" s="430" t="s">
        <v>446</v>
      </c>
      <c r="JP22" s="430" t="s">
        <v>446</v>
      </c>
      <c r="JQ22" s="433" t="s">
        <v>88</v>
      </c>
      <c r="JR22" s="430" t="s">
        <v>446</v>
      </c>
      <c r="JS22" s="432" t="s">
        <v>89</v>
      </c>
      <c r="JT22" s="433" t="s">
        <v>88</v>
      </c>
      <c r="JU22" s="430" t="s">
        <v>446</v>
      </c>
      <c r="JV22" s="430" t="s">
        <v>446</v>
      </c>
      <c r="JW22" s="430" t="s">
        <v>446</v>
      </c>
      <c r="JX22" s="430" t="s">
        <v>446</v>
      </c>
      <c r="JY22" s="430" t="s">
        <v>446</v>
      </c>
      <c r="JZ22" s="430" t="s">
        <v>446</v>
      </c>
      <c r="KA22" s="430" t="s">
        <v>446</v>
      </c>
      <c r="KB22" s="430" t="s">
        <v>446</v>
      </c>
      <c r="KC22" s="430" t="s">
        <v>446</v>
      </c>
      <c r="KD22" s="430" t="s">
        <v>446</v>
      </c>
      <c r="KE22" s="430" t="s">
        <v>446</v>
      </c>
      <c r="KF22" s="430" t="s">
        <v>446</v>
      </c>
      <c r="KG22" s="430" t="s">
        <v>446</v>
      </c>
      <c r="KH22" s="432" t="s">
        <v>89</v>
      </c>
      <c r="KI22" s="433" t="s">
        <v>88</v>
      </c>
      <c r="KJ22" s="430" t="s">
        <v>446</v>
      </c>
      <c r="KK22" s="430" t="s">
        <v>446</v>
      </c>
      <c r="KL22" s="433" t="s">
        <v>88</v>
      </c>
      <c r="KM22" s="430" t="s">
        <v>446</v>
      </c>
      <c r="KN22" s="432" t="s">
        <v>89</v>
      </c>
      <c r="KO22" s="433" t="s">
        <v>88</v>
      </c>
      <c r="KP22" s="430" t="s">
        <v>446</v>
      </c>
      <c r="KQ22" s="430" t="s">
        <v>446</v>
      </c>
      <c r="KR22" s="430" t="s">
        <v>446</v>
      </c>
      <c r="KS22" s="430" t="s">
        <v>446</v>
      </c>
      <c r="KT22" s="430" t="s">
        <v>446</v>
      </c>
      <c r="KU22" s="430" t="s">
        <v>446</v>
      </c>
      <c r="KV22" s="430" t="s">
        <v>446</v>
      </c>
      <c r="KW22" s="430" t="s">
        <v>446</v>
      </c>
      <c r="KX22" s="430" t="s">
        <v>446</v>
      </c>
      <c r="KY22" s="430" t="s">
        <v>446</v>
      </c>
      <c r="KZ22" s="430" t="s">
        <v>446</v>
      </c>
      <c r="LA22" s="430" t="s">
        <v>446</v>
      </c>
      <c r="LB22" s="430" t="s">
        <v>446</v>
      </c>
      <c r="LC22" s="432" t="s">
        <v>89</v>
      </c>
      <c r="LD22" s="433" t="s">
        <v>88</v>
      </c>
      <c r="LE22" s="430" t="s">
        <v>446</v>
      </c>
      <c r="LF22" s="430" t="s">
        <v>446</v>
      </c>
      <c r="LG22" s="433" t="s">
        <v>88</v>
      </c>
      <c r="LH22" s="430" t="s">
        <v>446</v>
      </c>
      <c r="LI22" s="432" t="s">
        <v>89</v>
      </c>
      <c r="LJ22" s="433" t="s">
        <v>88</v>
      </c>
      <c r="LK22" s="430" t="s">
        <v>446</v>
      </c>
      <c r="LL22" s="430" t="s">
        <v>446</v>
      </c>
      <c r="LM22" s="430" t="s">
        <v>446</v>
      </c>
      <c r="LN22" s="430" t="s">
        <v>446</v>
      </c>
      <c r="LO22" s="430" t="s">
        <v>446</v>
      </c>
      <c r="LP22" s="430" t="s">
        <v>446</v>
      </c>
      <c r="LQ22" s="430" t="s">
        <v>446</v>
      </c>
      <c r="LR22" s="430" t="s">
        <v>446</v>
      </c>
      <c r="LS22" s="430" t="s">
        <v>446</v>
      </c>
      <c r="LT22" s="430" t="s">
        <v>446</v>
      </c>
      <c r="LU22" s="430" t="s">
        <v>446</v>
      </c>
      <c r="LV22" s="430" t="s">
        <v>446</v>
      </c>
      <c r="LW22" s="430" t="s">
        <v>446</v>
      </c>
      <c r="LX22" s="430" t="s">
        <v>446</v>
      </c>
      <c r="LY22" s="430" t="s">
        <v>446</v>
      </c>
      <c r="LZ22" s="430" t="s">
        <v>446</v>
      </c>
      <c r="MA22" s="430" t="s">
        <v>446</v>
      </c>
      <c r="MB22" s="430" t="s">
        <v>446</v>
      </c>
      <c r="MC22" s="430" t="s">
        <v>446</v>
      </c>
      <c r="MD22" s="430" t="s">
        <v>446</v>
      </c>
      <c r="ME22" s="430" t="s">
        <v>446</v>
      </c>
      <c r="MF22" s="430" t="s">
        <v>446</v>
      </c>
      <c r="MG22" s="430" t="s">
        <v>446</v>
      </c>
      <c r="MH22" s="430" t="s">
        <v>446</v>
      </c>
      <c r="MI22" s="430" t="s">
        <v>446</v>
      </c>
      <c r="MJ22" s="430" t="s">
        <v>446</v>
      </c>
      <c r="MK22" s="430" t="s">
        <v>446</v>
      </c>
      <c r="ML22" s="430" t="s">
        <v>446</v>
      </c>
      <c r="MM22" s="430" t="s">
        <v>446</v>
      </c>
      <c r="MN22" s="430" t="s">
        <v>446</v>
      </c>
      <c r="MO22" s="430" t="s">
        <v>446</v>
      </c>
      <c r="MP22" s="430" t="s">
        <v>446</v>
      </c>
      <c r="MQ22" s="430" t="s">
        <v>446</v>
      </c>
      <c r="MR22" s="430" t="s">
        <v>446</v>
      </c>
      <c r="MS22" s="430" t="s">
        <v>446</v>
      </c>
      <c r="MT22" s="430" t="s">
        <v>446</v>
      </c>
      <c r="MU22" s="430" t="s">
        <v>446</v>
      </c>
      <c r="MV22" s="430" t="s">
        <v>446</v>
      </c>
      <c r="MW22" s="430" t="s">
        <v>446</v>
      </c>
      <c r="MX22" s="430" t="s">
        <v>446</v>
      </c>
      <c r="MY22" s="430" t="s">
        <v>446</v>
      </c>
      <c r="MZ22" s="430" t="s">
        <v>446</v>
      </c>
      <c r="NA22" s="430" t="s">
        <v>446</v>
      </c>
      <c r="NB22" s="430" t="s">
        <v>446</v>
      </c>
      <c r="NC22" s="430" t="s">
        <v>446</v>
      </c>
      <c r="ND22" s="430" t="s">
        <v>446</v>
      </c>
      <c r="NE22" s="430" t="s">
        <v>446</v>
      </c>
      <c r="NF22" s="430" t="s">
        <v>446</v>
      </c>
      <c r="NG22" s="430" t="s">
        <v>446</v>
      </c>
      <c r="NH22" s="430" t="s">
        <v>446</v>
      </c>
      <c r="NI22" s="430" t="s">
        <v>446</v>
      </c>
      <c r="NJ22" s="430" t="s">
        <v>446</v>
      </c>
      <c r="NK22" s="430" t="s">
        <v>446</v>
      </c>
      <c r="NL22" s="430" t="s">
        <v>446</v>
      </c>
      <c r="NM22" s="430" t="s">
        <v>446</v>
      </c>
      <c r="NN22" s="430" t="s">
        <v>446</v>
      </c>
      <c r="NO22" s="430" t="s">
        <v>446</v>
      </c>
      <c r="NP22" s="430" t="s">
        <v>446</v>
      </c>
      <c r="NQ22" s="430" t="s">
        <v>446</v>
      </c>
      <c r="NR22" s="430" t="s">
        <v>446</v>
      </c>
      <c r="NS22" s="430" t="s">
        <v>446</v>
      </c>
      <c r="NT22" s="430" t="s">
        <v>446</v>
      </c>
      <c r="NU22" s="430" t="s">
        <v>446</v>
      </c>
      <c r="NV22" s="430" t="s">
        <v>446</v>
      </c>
      <c r="NW22" s="430" t="s">
        <v>446</v>
      </c>
      <c r="NX22" s="430" t="s">
        <v>446</v>
      </c>
      <c r="NY22" s="430" t="s">
        <v>446</v>
      </c>
      <c r="NZ22" s="430" t="s">
        <v>446</v>
      </c>
      <c r="OA22" s="430" t="s">
        <v>446</v>
      </c>
      <c r="OB22" s="430" t="s">
        <v>446</v>
      </c>
      <c r="OC22" s="430" t="s">
        <v>446</v>
      </c>
      <c r="OD22" s="430" t="s">
        <v>446</v>
      </c>
      <c r="OE22" s="430" t="s">
        <v>446</v>
      </c>
      <c r="OF22" s="430" t="s">
        <v>446</v>
      </c>
      <c r="OG22" s="430" t="s">
        <v>446</v>
      </c>
      <c r="OH22" s="430" t="s">
        <v>446</v>
      </c>
      <c r="OI22" s="430" t="s">
        <v>446</v>
      </c>
      <c r="OJ22" s="430" t="s">
        <v>446</v>
      </c>
      <c r="OK22" s="430" t="s">
        <v>446</v>
      </c>
      <c r="OL22" s="430" t="s">
        <v>446</v>
      </c>
      <c r="OM22" s="430" t="s">
        <v>446</v>
      </c>
      <c r="ON22" s="430" t="s">
        <v>446</v>
      </c>
      <c r="OO22" s="430" t="s">
        <v>446</v>
      </c>
      <c r="OP22" s="430" t="s">
        <v>446</v>
      </c>
      <c r="OQ22" s="430" t="s">
        <v>446</v>
      </c>
      <c r="OR22" s="430" t="s">
        <v>446</v>
      </c>
      <c r="OS22" s="430" t="s">
        <v>446</v>
      </c>
      <c r="OT22" s="430" t="s">
        <v>446</v>
      </c>
      <c r="OU22" s="430" t="s">
        <v>446</v>
      </c>
      <c r="OV22" s="430" t="s">
        <v>446</v>
      </c>
      <c r="OW22" s="430" t="s">
        <v>446</v>
      </c>
      <c r="OX22" s="430" t="s">
        <v>446</v>
      </c>
      <c r="OY22" s="430" t="s">
        <v>446</v>
      </c>
      <c r="OZ22" s="430" t="s">
        <v>446</v>
      </c>
      <c r="PA22" s="430" t="s">
        <v>446</v>
      </c>
      <c r="PB22" s="430" t="s">
        <v>446</v>
      </c>
      <c r="PC22" s="430" t="s">
        <v>446</v>
      </c>
      <c r="PD22" s="430" t="s">
        <v>446</v>
      </c>
      <c r="PE22" s="430" t="s">
        <v>446</v>
      </c>
      <c r="PF22" s="430" t="s">
        <v>446</v>
      </c>
      <c r="PG22" s="430" t="s">
        <v>446</v>
      </c>
      <c r="PH22" s="430" t="s">
        <v>446</v>
      </c>
      <c r="PI22" s="430" t="s">
        <v>446</v>
      </c>
      <c r="PJ22" s="430" t="s">
        <v>446</v>
      </c>
      <c r="PK22" s="430" t="s">
        <v>446</v>
      </c>
      <c r="PL22" s="430" t="s">
        <v>446</v>
      </c>
      <c r="PM22" s="430" t="s">
        <v>446</v>
      </c>
      <c r="PN22" s="430" t="s">
        <v>446</v>
      </c>
      <c r="PO22" s="430" t="s">
        <v>446</v>
      </c>
      <c r="PP22" s="430" t="s">
        <v>446</v>
      </c>
      <c r="PQ22" s="430" t="s">
        <v>446</v>
      </c>
      <c r="PR22" s="430" t="s">
        <v>446</v>
      </c>
      <c r="PS22" s="430" t="s">
        <v>446</v>
      </c>
      <c r="PT22" s="430" t="s">
        <v>446</v>
      </c>
      <c r="PU22" s="430" t="s">
        <v>446</v>
      </c>
      <c r="PV22" s="430" t="s">
        <v>446</v>
      </c>
      <c r="PW22" s="430" t="s">
        <v>446</v>
      </c>
      <c r="PX22" s="430" t="s">
        <v>446</v>
      </c>
      <c r="PY22" s="430" t="s">
        <v>446</v>
      </c>
      <c r="PZ22" s="430" t="s">
        <v>446</v>
      </c>
      <c r="QA22" s="430" t="s">
        <v>446</v>
      </c>
      <c r="QB22" s="430" t="s">
        <v>446</v>
      </c>
      <c r="QC22" s="430" t="s">
        <v>446</v>
      </c>
      <c r="QD22" s="430" t="s">
        <v>446</v>
      </c>
      <c r="QE22" s="430" t="s">
        <v>446</v>
      </c>
      <c r="QF22" s="430" t="s">
        <v>446</v>
      </c>
      <c r="QG22" s="430" t="s">
        <v>446</v>
      </c>
      <c r="QH22" s="430" t="s">
        <v>446</v>
      </c>
      <c r="QI22" s="430" t="s">
        <v>446</v>
      </c>
      <c r="QJ22" s="430" t="s">
        <v>446</v>
      </c>
      <c r="QK22" s="430" t="s">
        <v>446</v>
      </c>
      <c r="QL22" s="430" t="s">
        <v>446</v>
      </c>
      <c r="QM22" s="430" t="s">
        <v>446</v>
      </c>
      <c r="QN22" s="430" t="s">
        <v>446</v>
      </c>
      <c r="QO22" s="442" t="s">
        <v>446</v>
      </c>
    </row>
    <row r="23" spans="1:457" ht="30" customHeight="1" x14ac:dyDescent="0.25">
      <c r="A23" s="431" t="str">
        <f>Salas!A22</f>
        <v>Auditório</v>
      </c>
      <c r="B23" s="429" t="s">
        <v>446</v>
      </c>
      <c r="C23" s="430" t="s">
        <v>446</v>
      </c>
      <c r="D23" s="430" t="s">
        <v>446</v>
      </c>
      <c r="E23" s="430" t="s">
        <v>446</v>
      </c>
      <c r="F23" s="430" t="s">
        <v>446</v>
      </c>
      <c r="G23" s="430" t="s">
        <v>446</v>
      </c>
      <c r="H23" s="430" t="s">
        <v>446</v>
      </c>
      <c r="I23" s="430" t="s">
        <v>446</v>
      </c>
      <c r="J23" s="430" t="s">
        <v>446</v>
      </c>
      <c r="K23" s="430" t="s">
        <v>446</v>
      </c>
      <c r="L23" s="430" t="s">
        <v>446</v>
      </c>
      <c r="M23" s="430" t="s">
        <v>446</v>
      </c>
      <c r="N23" s="430" t="s">
        <v>446</v>
      </c>
      <c r="O23" s="430" t="s">
        <v>446</v>
      </c>
      <c r="P23" s="430" t="s">
        <v>446</v>
      </c>
      <c r="Q23" s="430" t="s">
        <v>446</v>
      </c>
      <c r="R23" s="430" t="s">
        <v>446</v>
      </c>
      <c r="S23" s="430" t="s">
        <v>446</v>
      </c>
      <c r="T23" s="430" t="s">
        <v>446</v>
      </c>
      <c r="U23" s="430" t="s">
        <v>446</v>
      </c>
      <c r="V23" s="430" t="s">
        <v>446</v>
      </c>
      <c r="W23" s="430" t="s">
        <v>446</v>
      </c>
      <c r="X23" s="430" t="s">
        <v>446</v>
      </c>
      <c r="Y23" s="430" t="s">
        <v>446</v>
      </c>
      <c r="Z23" s="430" t="s">
        <v>446</v>
      </c>
      <c r="AA23" s="430" t="s">
        <v>446</v>
      </c>
      <c r="AB23" s="430" t="s">
        <v>446</v>
      </c>
      <c r="AC23" s="430" t="s">
        <v>446</v>
      </c>
      <c r="AD23" s="430" t="s">
        <v>446</v>
      </c>
      <c r="AE23" s="430" t="s">
        <v>446</v>
      </c>
      <c r="AF23" s="430" t="s">
        <v>446</v>
      </c>
      <c r="AG23" s="430" t="s">
        <v>446</v>
      </c>
      <c r="AH23" s="430" t="s">
        <v>446</v>
      </c>
      <c r="AI23" s="430" t="s">
        <v>446</v>
      </c>
      <c r="AJ23" s="430" t="s">
        <v>446</v>
      </c>
      <c r="AK23" s="430" t="s">
        <v>446</v>
      </c>
      <c r="AL23" s="430" t="s">
        <v>446</v>
      </c>
      <c r="AM23" s="430" t="s">
        <v>446</v>
      </c>
      <c r="AN23" s="430" t="s">
        <v>446</v>
      </c>
      <c r="AO23" s="430" t="s">
        <v>446</v>
      </c>
      <c r="AP23" s="430" t="s">
        <v>446</v>
      </c>
      <c r="AQ23" s="430" t="s">
        <v>446</v>
      </c>
      <c r="AR23" s="430" t="s">
        <v>446</v>
      </c>
      <c r="AS23" s="430" t="s">
        <v>446</v>
      </c>
      <c r="AT23" s="430" t="s">
        <v>446</v>
      </c>
      <c r="AU23" s="430" t="s">
        <v>446</v>
      </c>
      <c r="AV23" s="430" t="s">
        <v>446</v>
      </c>
      <c r="AW23" s="430" t="s">
        <v>446</v>
      </c>
      <c r="AX23" s="430" t="s">
        <v>446</v>
      </c>
      <c r="AY23" s="430" t="s">
        <v>446</v>
      </c>
      <c r="AZ23" s="430" t="s">
        <v>446</v>
      </c>
      <c r="BA23" s="430" t="s">
        <v>446</v>
      </c>
      <c r="BB23" s="430" t="s">
        <v>446</v>
      </c>
      <c r="BC23" s="430" t="s">
        <v>446</v>
      </c>
      <c r="BD23" s="430" t="s">
        <v>446</v>
      </c>
      <c r="BE23" s="430" t="s">
        <v>446</v>
      </c>
      <c r="BF23" s="430" t="s">
        <v>446</v>
      </c>
      <c r="BG23" s="430" t="s">
        <v>446</v>
      </c>
      <c r="BH23" s="430" t="s">
        <v>446</v>
      </c>
      <c r="BI23" s="430" t="s">
        <v>446</v>
      </c>
      <c r="BJ23" s="430" t="s">
        <v>446</v>
      </c>
      <c r="BK23" s="430" t="s">
        <v>446</v>
      </c>
      <c r="BL23" s="430" t="s">
        <v>446</v>
      </c>
      <c r="BM23" s="430" t="s">
        <v>446</v>
      </c>
      <c r="BN23" s="430" t="s">
        <v>446</v>
      </c>
      <c r="BO23" s="433" t="s">
        <v>152</v>
      </c>
      <c r="BP23" s="430" t="s">
        <v>446</v>
      </c>
      <c r="BQ23" s="430" t="s">
        <v>446</v>
      </c>
      <c r="BR23" s="430" t="s">
        <v>446</v>
      </c>
      <c r="BS23" s="430" t="s">
        <v>446</v>
      </c>
      <c r="BT23" s="430" t="s">
        <v>446</v>
      </c>
      <c r="BU23" s="430" t="s">
        <v>446</v>
      </c>
      <c r="BV23" s="430" t="s">
        <v>446</v>
      </c>
      <c r="BW23" s="430" t="s">
        <v>446</v>
      </c>
      <c r="BX23" s="430" t="s">
        <v>446</v>
      </c>
      <c r="BY23" s="430" t="s">
        <v>446</v>
      </c>
      <c r="BZ23" s="430" t="s">
        <v>446</v>
      </c>
      <c r="CA23" s="430" t="s">
        <v>446</v>
      </c>
      <c r="CB23" s="430" t="s">
        <v>446</v>
      </c>
      <c r="CC23" s="430" t="s">
        <v>446</v>
      </c>
      <c r="CD23" s="430" t="s">
        <v>446</v>
      </c>
      <c r="CE23" s="430" t="s">
        <v>446</v>
      </c>
      <c r="CF23" s="430" t="s">
        <v>446</v>
      </c>
      <c r="CG23" s="430" t="s">
        <v>446</v>
      </c>
      <c r="CH23" s="430" t="s">
        <v>446</v>
      </c>
      <c r="CI23" s="430" t="s">
        <v>446</v>
      </c>
      <c r="CJ23" s="433" t="s">
        <v>152</v>
      </c>
      <c r="CK23" s="430" t="s">
        <v>446</v>
      </c>
      <c r="CL23" s="430" t="s">
        <v>446</v>
      </c>
      <c r="CM23" s="430" t="s">
        <v>446</v>
      </c>
      <c r="CN23" s="430" t="s">
        <v>446</v>
      </c>
      <c r="CO23" s="430" t="s">
        <v>446</v>
      </c>
      <c r="CP23" s="430" t="s">
        <v>446</v>
      </c>
      <c r="CQ23" s="430" t="s">
        <v>446</v>
      </c>
      <c r="CR23" s="430" t="s">
        <v>446</v>
      </c>
      <c r="CS23" s="430" t="s">
        <v>446</v>
      </c>
      <c r="CT23" s="430" t="s">
        <v>446</v>
      </c>
      <c r="CU23" s="430" t="s">
        <v>446</v>
      </c>
      <c r="CV23" s="430" t="s">
        <v>446</v>
      </c>
      <c r="CW23" s="430" t="s">
        <v>446</v>
      </c>
      <c r="CX23" s="430" t="s">
        <v>446</v>
      </c>
      <c r="CY23" s="430" t="s">
        <v>446</v>
      </c>
      <c r="CZ23" s="430" t="s">
        <v>446</v>
      </c>
      <c r="DA23" s="430" t="s">
        <v>446</v>
      </c>
      <c r="DB23" s="430" t="s">
        <v>446</v>
      </c>
      <c r="DC23" s="430" t="s">
        <v>446</v>
      </c>
      <c r="DD23" s="430" t="s">
        <v>446</v>
      </c>
      <c r="DE23" s="433" t="s">
        <v>152</v>
      </c>
      <c r="DF23" s="430" t="s">
        <v>446</v>
      </c>
      <c r="DG23" s="430" t="s">
        <v>446</v>
      </c>
      <c r="DH23" s="430" t="s">
        <v>446</v>
      </c>
      <c r="DI23" s="430" t="s">
        <v>446</v>
      </c>
      <c r="DJ23" s="430" t="s">
        <v>446</v>
      </c>
      <c r="DK23" s="430" t="s">
        <v>446</v>
      </c>
      <c r="DL23" s="430" t="s">
        <v>446</v>
      </c>
      <c r="DM23" s="430" t="s">
        <v>446</v>
      </c>
      <c r="DN23" s="430" t="s">
        <v>446</v>
      </c>
      <c r="DO23" s="430" t="s">
        <v>446</v>
      </c>
      <c r="DP23" s="430" t="s">
        <v>446</v>
      </c>
      <c r="DQ23" s="430" t="s">
        <v>446</v>
      </c>
      <c r="DR23" s="430" t="s">
        <v>446</v>
      </c>
      <c r="DS23" s="430" t="s">
        <v>446</v>
      </c>
      <c r="DT23" s="430" t="s">
        <v>446</v>
      </c>
      <c r="DU23" s="430" t="s">
        <v>446</v>
      </c>
      <c r="DV23" s="430" t="s">
        <v>446</v>
      </c>
      <c r="DW23" s="430" t="s">
        <v>446</v>
      </c>
      <c r="DX23" s="430" t="s">
        <v>446</v>
      </c>
      <c r="DY23" s="430" t="s">
        <v>446</v>
      </c>
      <c r="DZ23" s="433" t="s">
        <v>152</v>
      </c>
      <c r="EA23" s="430" t="s">
        <v>446</v>
      </c>
      <c r="EB23" s="430" t="s">
        <v>446</v>
      </c>
      <c r="EC23" s="430" t="s">
        <v>446</v>
      </c>
      <c r="ED23" s="430" t="s">
        <v>446</v>
      </c>
      <c r="EE23" s="430" t="s">
        <v>446</v>
      </c>
      <c r="EF23" s="430" t="s">
        <v>446</v>
      </c>
      <c r="EG23" s="430" t="s">
        <v>446</v>
      </c>
      <c r="EH23" s="430" t="s">
        <v>446</v>
      </c>
      <c r="EI23" s="430" t="s">
        <v>446</v>
      </c>
      <c r="EJ23" s="430" t="s">
        <v>446</v>
      </c>
      <c r="EK23" s="430" t="s">
        <v>446</v>
      </c>
      <c r="EL23" s="430" t="s">
        <v>446</v>
      </c>
      <c r="EM23" s="430" t="s">
        <v>446</v>
      </c>
      <c r="EN23" s="430" t="s">
        <v>446</v>
      </c>
      <c r="EO23" s="430" t="s">
        <v>446</v>
      </c>
      <c r="EP23" s="430" t="s">
        <v>446</v>
      </c>
      <c r="EQ23" s="430" t="s">
        <v>446</v>
      </c>
      <c r="ER23" s="430" t="s">
        <v>446</v>
      </c>
      <c r="ES23" s="430" t="s">
        <v>446</v>
      </c>
      <c r="ET23" s="430" t="s">
        <v>446</v>
      </c>
      <c r="EU23" s="433" t="s">
        <v>152</v>
      </c>
      <c r="EV23" s="430" t="s">
        <v>446</v>
      </c>
      <c r="EW23" s="430" t="s">
        <v>446</v>
      </c>
      <c r="EX23" s="430" t="s">
        <v>446</v>
      </c>
      <c r="EY23" s="430" t="s">
        <v>446</v>
      </c>
      <c r="EZ23" s="430" t="s">
        <v>446</v>
      </c>
      <c r="FA23" s="430" t="s">
        <v>446</v>
      </c>
      <c r="FB23" s="430" t="s">
        <v>446</v>
      </c>
      <c r="FC23" s="430" t="s">
        <v>446</v>
      </c>
      <c r="FD23" s="430" t="s">
        <v>446</v>
      </c>
      <c r="FE23" s="430" t="s">
        <v>446</v>
      </c>
      <c r="FF23" s="430" t="s">
        <v>446</v>
      </c>
      <c r="FG23" s="430" t="s">
        <v>446</v>
      </c>
      <c r="FH23" s="430" t="s">
        <v>446</v>
      </c>
      <c r="FI23" s="430" t="s">
        <v>446</v>
      </c>
      <c r="FJ23" s="430" t="s">
        <v>446</v>
      </c>
      <c r="FK23" s="430" t="s">
        <v>446</v>
      </c>
      <c r="FL23" s="430" t="s">
        <v>446</v>
      </c>
      <c r="FM23" s="430" t="s">
        <v>446</v>
      </c>
      <c r="FN23" s="430" t="s">
        <v>446</v>
      </c>
      <c r="FO23" s="430" t="s">
        <v>446</v>
      </c>
      <c r="FP23" s="433" t="s">
        <v>152</v>
      </c>
      <c r="FQ23" s="430" t="s">
        <v>446</v>
      </c>
      <c r="FR23" s="430" t="s">
        <v>446</v>
      </c>
      <c r="FS23" s="430" t="s">
        <v>446</v>
      </c>
      <c r="FT23" s="430" t="s">
        <v>446</v>
      </c>
      <c r="FU23" s="430" t="s">
        <v>446</v>
      </c>
      <c r="FV23" s="430" t="s">
        <v>446</v>
      </c>
      <c r="FW23" s="430" t="s">
        <v>446</v>
      </c>
      <c r="FX23" s="430" t="s">
        <v>446</v>
      </c>
      <c r="FY23" s="430" t="s">
        <v>446</v>
      </c>
      <c r="FZ23" s="430" t="s">
        <v>446</v>
      </c>
      <c r="GA23" s="430" t="s">
        <v>446</v>
      </c>
      <c r="GB23" s="430" t="s">
        <v>446</v>
      </c>
      <c r="GC23" s="430" t="s">
        <v>446</v>
      </c>
      <c r="GD23" s="430" t="s">
        <v>446</v>
      </c>
      <c r="GE23" s="430" t="s">
        <v>446</v>
      </c>
      <c r="GF23" s="430" t="s">
        <v>446</v>
      </c>
      <c r="GG23" s="430" t="s">
        <v>446</v>
      </c>
      <c r="GH23" s="430" t="s">
        <v>446</v>
      </c>
      <c r="GI23" s="430" t="s">
        <v>446</v>
      </c>
      <c r="GJ23" s="430" t="s">
        <v>446</v>
      </c>
      <c r="GK23" s="433" t="s">
        <v>152</v>
      </c>
      <c r="GL23" s="430" t="s">
        <v>446</v>
      </c>
      <c r="GM23" s="430" t="s">
        <v>446</v>
      </c>
      <c r="GN23" s="430" t="s">
        <v>446</v>
      </c>
      <c r="GO23" s="430" t="s">
        <v>446</v>
      </c>
      <c r="GP23" s="430" t="s">
        <v>446</v>
      </c>
      <c r="GQ23" s="430" t="s">
        <v>446</v>
      </c>
      <c r="GR23" s="430" t="s">
        <v>446</v>
      </c>
      <c r="GS23" s="430" t="s">
        <v>446</v>
      </c>
      <c r="GT23" s="430" t="s">
        <v>446</v>
      </c>
      <c r="GU23" s="430" t="s">
        <v>446</v>
      </c>
      <c r="GV23" s="430" t="s">
        <v>446</v>
      </c>
      <c r="GW23" s="430" t="s">
        <v>446</v>
      </c>
      <c r="GX23" s="430" t="s">
        <v>446</v>
      </c>
      <c r="GY23" s="430" t="s">
        <v>446</v>
      </c>
      <c r="GZ23" s="430" t="s">
        <v>446</v>
      </c>
      <c r="HA23" s="430" t="s">
        <v>446</v>
      </c>
      <c r="HB23" s="430" t="s">
        <v>446</v>
      </c>
      <c r="HC23" s="430" t="s">
        <v>446</v>
      </c>
      <c r="HD23" s="430" t="s">
        <v>446</v>
      </c>
      <c r="HE23" s="430" t="s">
        <v>446</v>
      </c>
      <c r="HF23" s="433" t="s">
        <v>152</v>
      </c>
      <c r="HG23" s="430" t="s">
        <v>446</v>
      </c>
      <c r="HH23" s="430" t="s">
        <v>446</v>
      </c>
      <c r="HI23" s="430" t="s">
        <v>446</v>
      </c>
      <c r="HJ23" s="430" t="s">
        <v>446</v>
      </c>
      <c r="HK23" s="430" t="s">
        <v>446</v>
      </c>
      <c r="HL23" s="430" t="s">
        <v>446</v>
      </c>
      <c r="HM23" s="430" t="s">
        <v>446</v>
      </c>
      <c r="HN23" s="430" t="s">
        <v>446</v>
      </c>
      <c r="HO23" s="430" t="s">
        <v>446</v>
      </c>
      <c r="HP23" s="430" t="s">
        <v>446</v>
      </c>
      <c r="HQ23" s="430" t="s">
        <v>446</v>
      </c>
      <c r="HR23" s="430" t="s">
        <v>446</v>
      </c>
      <c r="HS23" s="430" t="s">
        <v>446</v>
      </c>
      <c r="HT23" s="430" t="s">
        <v>446</v>
      </c>
      <c r="HU23" s="430" t="s">
        <v>446</v>
      </c>
      <c r="HV23" s="430" t="s">
        <v>446</v>
      </c>
      <c r="HW23" s="430" t="s">
        <v>446</v>
      </c>
      <c r="HX23" s="430" t="s">
        <v>446</v>
      </c>
      <c r="HY23" s="430" t="s">
        <v>446</v>
      </c>
      <c r="HZ23" s="430" t="s">
        <v>446</v>
      </c>
      <c r="IA23" s="433" t="s">
        <v>152</v>
      </c>
      <c r="IB23" s="430" t="s">
        <v>446</v>
      </c>
      <c r="IC23" s="430" t="s">
        <v>446</v>
      </c>
      <c r="ID23" s="430" t="s">
        <v>446</v>
      </c>
      <c r="IE23" s="430" t="s">
        <v>446</v>
      </c>
      <c r="IF23" s="430" t="s">
        <v>446</v>
      </c>
      <c r="IG23" s="430" t="s">
        <v>446</v>
      </c>
      <c r="IH23" s="430" t="s">
        <v>446</v>
      </c>
      <c r="II23" s="430" t="s">
        <v>446</v>
      </c>
      <c r="IJ23" s="430" t="s">
        <v>446</v>
      </c>
      <c r="IK23" s="430" t="s">
        <v>446</v>
      </c>
      <c r="IL23" s="430" t="s">
        <v>446</v>
      </c>
      <c r="IM23" s="430" t="s">
        <v>446</v>
      </c>
      <c r="IN23" s="430" t="s">
        <v>446</v>
      </c>
      <c r="IO23" s="430" t="s">
        <v>446</v>
      </c>
      <c r="IP23" s="430" t="s">
        <v>446</v>
      </c>
      <c r="IQ23" s="430" t="s">
        <v>446</v>
      </c>
      <c r="IR23" s="430" t="s">
        <v>446</v>
      </c>
      <c r="IS23" s="430" t="s">
        <v>446</v>
      </c>
      <c r="IT23" s="430" t="s">
        <v>446</v>
      </c>
      <c r="IU23" s="430" t="s">
        <v>446</v>
      </c>
      <c r="IV23" s="433" t="s">
        <v>152</v>
      </c>
      <c r="IW23" s="430" t="s">
        <v>446</v>
      </c>
      <c r="IX23" s="430" t="s">
        <v>446</v>
      </c>
      <c r="IY23" s="430" t="s">
        <v>446</v>
      </c>
      <c r="IZ23" s="430" t="s">
        <v>446</v>
      </c>
      <c r="JA23" s="430" t="s">
        <v>446</v>
      </c>
      <c r="JB23" s="430" t="s">
        <v>446</v>
      </c>
      <c r="JC23" s="430" t="s">
        <v>446</v>
      </c>
      <c r="JD23" s="430" t="s">
        <v>446</v>
      </c>
      <c r="JE23" s="430" t="s">
        <v>446</v>
      </c>
      <c r="JF23" s="430" t="s">
        <v>446</v>
      </c>
      <c r="JG23" s="430" t="s">
        <v>446</v>
      </c>
      <c r="JH23" s="430" t="s">
        <v>446</v>
      </c>
      <c r="JI23" s="430" t="s">
        <v>446</v>
      </c>
      <c r="JJ23" s="430" t="s">
        <v>446</v>
      </c>
      <c r="JK23" s="430" t="s">
        <v>446</v>
      </c>
      <c r="JL23" s="430" t="s">
        <v>446</v>
      </c>
      <c r="JM23" s="430" t="s">
        <v>446</v>
      </c>
      <c r="JN23" s="430" t="s">
        <v>446</v>
      </c>
      <c r="JO23" s="430" t="s">
        <v>446</v>
      </c>
      <c r="JP23" s="430" t="s">
        <v>446</v>
      </c>
      <c r="JQ23" s="433" t="s">
        <v>152</v>
      </c>
      <c r="JR23" s="430" t="s">
        <v>446</v>
      </c>
      <c r="JS23" s="430" t="s">
        <v>446</v>
      </c>
      <c r="JT23" s="430" t="s">
        <v>446</v>
      </c>
      <c r="JU23" s="430" t="s">
        <v>446</v>
      </c>
      <c r="JV23" s="430" t="s">
        <v>446</v>
      </c>
      <c r="JW23" s="430" t="s">
        <v>446</v>
      </c>
      <c r="JX23" s="430" t="s">
        <v>446</v>
      </c>
      <c r="JY23" s="430" t="s">
        <v>446</v>
      </c>
      <c r="JZ23" s="430" t="s">
        <v>446</v>
      </c>
      <c r="KA23" s="430" t="s">
        <v>446</v>
      </c>
      <c r="KB23" s="430" t="s">
        <v>446</v>
      </c>
      <c r="KC23" s="430" t="s">
        <v>446</v>
      </c>
      <c r="KD23" s="430" t="s">
        <v>446</v>
      </c>
      <c r="KE23" s="430" t="s">
        <v>446</v>
      </c>
      <c r="KF23" s="430" t="s">
        <v>446</v>
      </c>
      <c r="KG23" s="430" t="s">
        <v>446</v>
      </c>
      <c r="KH23" s="430" t="s">
        <v>446</v>
      </c>
      <c r="KI23" s="430" t="s">
        <v>446</v>
      </c>
      <c r="KJ23" s="430" t="s">
        <v>446</v>
      </c>
      <c r="KK23" s="430" t="s">
        <v>446</v>
      </c>
      <c r="KL23" s="433" t="s">
        <v>152</v>
      </c>
      <c r="KM23" s="430" t="s">
        <v>446</v>
      </c>
      <c r="KN23" s="430" t="s">
        <v>446</v>
      </c>
      <c r="KO23" s="430" t="s">
        <v>446</v>
      </c>
      <c r="KP23" s="430" t="s">
        <v>446</v>
      </c>
      <c r="KQ23" s="430" t="s">
        <v>446</v>
      </c>
      <c r="KR23" s="430" t="s">
        <v>446</v>
      </c>
      <c r="KS23" s="430" t="s">
        <v>446</v>
      </c>
      <c r="KT23" s="430" t="s">
        <v>446</v>
      </c>
      <c r="KU23" s="430" t="s">
        <v>446</v>
      </c>
      <c r="KV23" s="430" t="s">
        <v>446</v>
      </c>
      <c r="KW23" s="430" t="s">
        <v>446</v>
      </c>
      <c r="KX23" s="430" t="s">
        <v>446</v>
      </c>
      <c r="KY23" s="430" t="s">
        <v>446</v>
      </c>
      <c r="KZ23" s="430" t="s">
        <v>446</v>
      </c>
      <c r="LA23" s="430" t="s">
        <v>446</v>
      </c>
      <c r="LB23" s="430" t="s">
        <v>446</v>
      </c>
      <c r="LC23" s="430" t="s">
        <v>446</v>
      </c>
      <c r="LD23" s="430" t="s">
        <v>446</v>
      </c>
      <c r="LE23" s="430" t="s">
        <v>446</v>
      </c>
      <c r="LF23" s="430" t="s">
        <v>446</v>
      </c>
      <c r="LG23" s="433" t="s">
        <v>152</v>
      </c>
      <c r="LH23" s="430" t="s">
        <v>446</v>
      </c>
      <c r="LI23" s="430" t="s">
        <v>446</v>
      </c>
      <c r="LJ23" s="430" t="s">
        <v>446</v>
      </c>
      <c r="LK23" s="430" t="s">
        <v>446</v>
      </c>
      <c r="LL23" s="430" t="s">
        <v>446</v>
      </c>
      <c r="LM23" s="430" t="s">
        <v>446</v>
      </c>
      <c r="LN23" s="430" t="s">
        <v>446</v>
      </c>
      <c r="LO23" s="430" t="s">
        <v>446</v>
      </c>
      <c r="LP23" s="430" t="s">
        <v>446</v>
      </c>
      <c r="LQ23" s="430" t="s">
        <v>446</v>
      </c>
      <c r="LR23" s="430" t="s">
        <v>446</v>
      </c>
      <c r="LS23" s="430" t="s">
        <v>446</v>
      </c>
      <c r="LT23" s="430" t="s">
        <v>446</v>
      </c>
      <c r="LU23" s="430" t="s">
        <v>446</v>
      </c>
      <c r="LV23" s="430" t="s">
        <v>446</v>
      </c>
      <c r="LW23" s="430" t="s">
        <v>446</v>
      </c>
      <c r="LX23" s="430" t="s">
        <v>446</v>
      </c>
      <c r="LY23" s="430" t="s">
        <v>446</v>
      </c>
      <c r="LZ23" s="430" t="s">
        <v>446</v>
      </c>
      <c r="MA23" s="430" t="s">
        <v>446</v>
      </c>
      <c r="MB23" s="433" t="s">
        <v>152</v>
      </c>
      <c r="MC23" s="430" t="s">
        <v>446</v>
      </c>
      <c r="MD23" s="430" t="s">
        <v>446</v>
      </c>
      <c r="ME23" s="430" t="s">
        <v>446</v>
      </c>
      <c r="MF23" s="430" t="s">
        <v>446</v>
      </c>
      <c r="MG23" s="430" t="s">
        <v>446</v>
      </c>
      <c r="MH23" s="430" t="s">
        <v>446</v>
      </c>
      <c r="MI23" s="430" t="s">
        <v>446</v>
      </c>
      <c r="MJ23" s="430" t="s">
        <v>446</v>
      </c>
      <c r="MK23" s="430" t="s">
        <v>446</v>
      </c>
      <c r="ML23" s="430" t="s">
        <v>446</v>
      </c>
      <c r="MM23" s="430" t="s">
        <v>446</v>
      </c>
      <c r="MN23" s="430" t="s">
        <v>446</v>
      </c>
      <c r="MO23" s="430" t="s">
        <v>446</v>
      </c>
      <c r="MP23" s="430" t="s">
        <v>446</v>
      </c>
      <c r="MQ23" s="430" t="s">
        <v>446</v>
      </c>
      <c r="MR23" s="430" t="s">
        <v>446</v>
      </c>
      <c r="MS23" s="430" t="s">
        <v>446</v>
      </c>
      <c r="MT23" s="430" t="s">
        <v>446</v>
      </c>
      <c r="MU23" s="430" t="s">
        <v>446</v>
      </c>
      <c r="MV23" s="430" t="s">
        <v>446</v>
      </c>
      <c r="MW23" s="433" t="s">
        <v>152</v>
      </c>
      <c r="MX23" s="430" t="s">
        <v>446</v>
      </c>
      <c r="MY23" s="430" t="s">
        <v>446</v>
      </c>
      <c r="MZ23" s="430" t="s">
        <v>446</v>
      </c>
      <c r="NA23" s="430" t="s">
        <v>446</v>
      </c>
      <c r="NB23" s="430" t="s">
        <v>446</v>
      </c>
      <c r="NC23" s="430" t="s">
        <v>446</v>
      </c>
      <c r="ND23" s="430" t="s">
        <v>446</v>
      </c>
      <c r="NE23" s="430" t="s">
        <v>446</v>
      </c>
      <c r="NF23" s="430" t="s">
        <v>446</v>
      </c>
      <c r="NG23" s="430" t="s">
        <v>446</v>
      </c>
      <c r="NH23" s="430" t="s">
        <v>446</v>
      </c>
      <c r="NI23" s="430" t="s">
        <v>446</v>
      </c>
      <c r="NJ23" s="430" t="s">
        <v>446</v>
      </c>
      <c r="NK23" s="430" t="s">
        <v>446</v>
      </c>
      <c r="NL23" s="430" t="s">
        <v>446</v>
      </c>
      <c r="NM23" s="430" t="s">
        <v>446</v>
      </c>
      <c r="NN23" s="430" t="s">
        <v>446</v>
      </c>
      <c r="NO23" s="430" t="s">
        <v>446</v>
      </c>
      <c r="NP23" s="430" t="s">
        <v>446</v>
      </c>
      <c r="NQ23" s="430" t="s">
        <v>446</v>
      </c>
      <c r="NR23" s="433" t="s">
        <v>152</v>
      </c>
      <c r="NS23" s="430" t="s">
        <v>446</v>
      </c>
      <c r="NT23" s="430" t="s">
        <v>446</v>
      </c>
      <c r="NU23" s="430" t="s">
        <v>446</v>
      </c>
      <c r="NV23" s="430" t="s">
        <v>446</v>
      </c>
      <c r="NW23" s="430" t="s">
        <v>446</v>
      </c>
      <c r="NX23" s="430" t="s">
        <v>446</v>
      </c>
      <c r="NY23" s="430" t="s">
        <v>446</v>
      </c>
      <c r="NZ23" s="430" t="s">
        <v>446</v>
      </c>
      <c r="OA23" s="430" t="s">
        <v>446</v>
      </c>
      <c r="OB23" s="430" t="s">
        <v>446</v>
      </c>
      <c r="OC23" s="430" t="s">
        <v>446</v>
      </c>
      <c r="OD23" s="430" t="s">
        <v>446</v>
      </c>
      <c r="OE23" s="430" t="s">
        <v>446</v>
      </c>
      <c r="OF23" s="430" t="s">
        <v>446</v>
      </c>
      <c r="OG23" s="430" t="s">
        <v>446</v>
      </c>
      <c r="OH23" s="430" t="s">
        <v>446</v>
      </c>
      <c r="OI23" s="430" t="s">
        <v>446</v>
      </c>
      <c r="OJ23" s="430" t="s">
        <v>446</v>
      </c>
      <c r="OK23" s="430" t="s">
        <v>446</v>
      </c>
      <c r="OL23" s="430" t="s">
        <v>446</v>
      </c>
      <c r="OM23" s="433" t="s">
        <v>152</v>
      </c>
      <c r="ON23" s="430" t="s">
        <v>446</v>
      </c>
      <c r="OO23" s="430" t="s">
        <v>446</v>
      </c>
      <c r="OP23" s="430" t="s">
        <v>446</v>
      </c>
      <c r="OQ23" s="430" t="s">
        <v>446</v>
      </c>
      <c r="OR23" s="430" t="s">
        <v>446</v>
      </c>
      <c r="OS23" s="430" t="s">
        <v>446</v>
      </c>
      <c r="OT23" s="430" t="s">
        <v>446</v>
      </c>
      <c r="OU23" s="430" t="s">
        <v>446</v>
      </c>
      <c r="OV23" s="430" t="s">
        <v>446</v>
      </c>
      <c r="OW23" s="430" t="s">
        <v>446</v>
      </c>
      <c r="OX23" s="430" t="s">
        <v>446</v>
      </c>
      <c r="OY23" s="430" t="s">
        <v>446</v>
      </c>
      <c r="OZ23" s="430" t="s">
        <v>446</v>
      </c>
      <c r="PA23" s="430" t="s">
        <v>446</v>
      </c>
      <c r="PB23" s="430" t="s">
        <v>446</v>
      </c>
      <c r="PC23" s="430" t="s">
        <v>446</v>
      </c>
      <c r="PD23" s="430" t="s">
        <v>446</v>
      </c>
      <c r="PE23" s="430" t="s">
        <v>446</v>
      </c>
      <c r="PF23" s="430" t="s">
        <v>446</v>
      </c>
      <c r="PG23" s="430" t="s">
        <v>446</v>
      </c>
      <c r="PH23" s="433" t="s">
        <v>152</v>
      </c>
      <c r="PI23" s="430" t="s">
        <v>446</v>
      </c>
      <c r="PJ23" s="430" t="s">
        <v>446</v>
      </c>
      <c r="PK23" s="430" t="s">
        <v>446</v>
      </c>
      <c r="PL23" s="430" t="s">
        <v>446</v>
      </c>
      <c r="PM23" s="430" t="s">
        <v>446</v>
      </c>
      <c r="PN23" s="430" t="s">
        <v>446</v>
      </c>
      <c r="PO23" s="430" t="s">
        <v>446</v>
      </c>
      <c r="PP23" s="430" t="s">
        <v>446</v>
      </c>
      <c r="PQ23" s="430" t="s">
        <v>446</v>
      </c>
      <c r="PR23" s="430" t="s">
        <v>446</v>
      </c>
      <c r="PS23" s="430" t="s">
        <v>446</v>
      </c>
      <c r="PT23" s="430" t="s">
        <v>446</v>
      </c>
      <c r="PU23" s="430" t="s">
        <v>446</v>
      </c>
      <c r="PV23" s="430" t="s">
        <v>446</v>
      </c>
      <c r="PW23" s="430" t="s">
        <v>446</v>
      </c>
      <c r="PX23" s="430" t="s">
        <v>446</v>
      </c>
      <c r="PY23" s="430" t="s">
        <v>446</v>
      </c>
      <c r="PZ23" s="430" t="s">
        <v>446</v>
      </c>
      <c r="QA23" s="430" t="s">
        <v>446</v>
      </c>
      <c r="QB23" s="430" t="s">
        <v>446</v>
      </c>
      <c r="QC23" s="433" t="s">
        <v>152</v>
      </c>
      <c r="QD23" s="430" t="s">
        <v>446</v>
      </c>
      <c r="QE23" s="430" t="s">
        <v>446</v>
      </c>
      <c r="QF23" s="430" t="s">
        <v>446</v>
      </c>
      <c r="QG23" s="430" t="s">
        <v>446</v>
      </c>
      <c r="QH23" s="430" t="s">
        <v>446</v>
      </c>
      <c r="QI23" s="430" t="s">
        <v>446</v>
      </c>
      <c r="QJ23" s="430" t="s">
        <v>446</v>
      </c>
      <c r="QK23" s="430" t="s">
        <v>446</v>
      </c>
      <c r="QL23" s="430" t="s">
        <v>446</v>
      </c>
      <c r="QM23" s="430" t="s">
        <v>446</v>
      </c>
      <c r="QN23" s="430" t="s">
        <v>446</v>
      </c>
      <c r="QO23" s="442" t="s">
        <v>446</v>
      </c>
    </row>
    <row r="24" spans="1:457" ht="30" customHeight="1" x14ac:dyDescent="0.25">
      <c r="A24" s="434" t="str">
        <f>Salas!A23</f>
        <v>Quadra</v>
      </c>
      <c r="B24" s="435" t="s">
        <v>446</v>
      </c>
      <c r="C24" s="436" t="s">
        <v>446</v>
      </c>
      <c r="D24" s="436" t="s">
        <v>446</v>
      </c>
      <c r="E24" s="436" t="s">
        <v>446</v>
      </c>
      <c r="F24" s="436" t="s">
        <v>446</v>
      </c>
      <c r="G24" s="436" t="s">
        <v>446</v>
      </c>
      <c r="H24" s="436" t="s">
        <v>446</v>
      </c>
      <c r="I24" s="436" t="s">
        <v>446</v>
      </c>
      <c r="J24" s="436" t="s">
        <v>446</v>
      </c>
      <c r="K24" s="436" t="s">
        <v>446</v>
      </c>
      <c r="L24" s="436" t="s">
        <v>446</v>
      </c>
      <c r="M24" s="436" t="s">
        <v>446</v>
      </c>
      <c r="N24" s="436" t="s">
        <v>446</v>
      </c>
      <c r="O24" s="436" t="s">
        <v>446</v>
      </c>
      <c r="P24" s="436" t="s">
        <v>446</v>
      </c>
      <c r="Q24" s="436" t="s">
        <v>446</v>
      </c>
      <c r="R24" s="436" t="s">
        <v>446</v>
      </c>
      <c r="S24" s="436" t="s">
        <v>446</v>
      </c>
      <c r="T24" s="436" t="s">
        <v>446</v>
      </c>
      <c r="U24" s="436" t="s">
        <v>446</v>
      </c>
      <c r="V24" s="444" t="s">
        <v>231</v>
      </c>
      <c r="W24" s="436" t="s">
        <v>446</v>
      </c>
      <c r="X24" s="436" t="s">
        <v>446</v>
      </c>
      <c r="Y24" s="436" t="s">
        <v>446</v>
      </c>
      <c r="Z24" s="436" t="s">
        <v>446</v>
      </c>
      <c r="AA24" s="445" t="s">
        <v>145</v>
      </c>
      <c r="AB24" s="444" t="s">
        <v>145</v>
      </c>
      <c r="AC24" s="436" t="s">
        <v>446</v>
      </c>
      <c r="AD24" s="436" t="s">
        <v>446</v>
      </c>
      <c r="AE24" s="436" t="s">
        <v>446</v>
      </c>
      <c r="AF24" s="436" t="s">
        <v>446</v>
      </c>
      <c r="AG24" s="436" t="s">
        <v>446</v>
      </c>
      <c r="AH24" s="436" t="s">
        <v>446</v>
      </c>
      <c r="AI24" s="436" t="s">
        <v>446</v>
      </c>
      <c r="AJ24" s="436" t="s">
        <v>446</v>
      </c>
      <c r="AK24" s="436" t="s">
        <v>446</v>
      </c>
      <c r="AL24" s="436" t="s">
        <v>446</v>
      </c>
      <c r="AM24" s="445" t="s">
        <v>413</v>
      </c>
      <c r="AN24" s="436" t="s">
        <v>446</v>
      </c>
      <c r="AO24" s="436" t="s">
        <v>446</v>
      </c>
      <c r="AP24" s="445" t="s">
        <v>413</v>
      </c>
      <c r="AQ24" s="444" t="s">
        <v>231</v>
      </c>
      <c r="AR24" s="436" t="s">
        <v>446</v>
      </c>
      <c r="AS24" s="445" t="s">
        <v>413</v>
      </c>
      <c r="AT24" s="436" t="s">
        <v>446</v>
      </c>
      <c r="AU24" s="436" t="s">
        <v>446</v>
      </c>
      <c r="AV24" s="445" t="s">
        <v>145</v>
      </c>
      <c r="AW24" s="444" t="s">
        <v>145</v>
      </c>
      <c r="AX24" s="436" t="s">
        <v>446</v>
      </c>
      <c r="AY24" s="445" t="s">
        <v>413</v>
      </c>
      <c r="AZ24" s="436" t="s">
        <v>446</v>
      </c>
      <c r="BA24" s="436" t="s">
        <v>446</v>
      </c>
      <c r="BB24" s="436" t="s">
        <v>446</v>
      </c>
      <c r="BC24" s="436" t="s">
        <v>446</v>
      </c>
      <c r="BD24" s="436" t="s">
        <v>446</v>
      </c>
      <c r="BE24" s="436" t="s">
        <v>446</v>
      </c>
      <c r="BF24" s="436" t="s">
        <v>446</v>
      </c>
      <c r="BG24" s="436" t="s">
        <v>446</v>
      </c>
      <c r="BH24" s="445" t="s">
        <v>413</v>
      </c>
      <c r="BI24" s="436" t="s">
        <v>446</v>
      </c>
      <c r="BJ24" s="436" t="s">
        <v>446</v>
      </c>
      <c r="BK24" s="445" t="s">
        <v>413</v>
      </c>
      <c r="BL24" s="444" t="s">
        <v>231</v>
      </c>
      <c r="BM24" s="436" t="s">
        <v>446</v>
      </c>
      <c r="BN24" s="445" t="s">
        <v>413</v>
      </c>
      <c r="BO24" s="436" t="s">
        <v>446</v>
      </c>
      <c r="BP24" s="436" t="s">
        <v>446</v>
      </c>
      <c r="BQ24" s="445" t="s">
        <v>145</v>
      </c>
      <c r="BR24" s="444" t="s">
        <v>145</v>
      </c>
      <c r="BS24" s="436" t="s">
        <v>446</v>
      </c>
      <c r="BT24" s="445" t="s">
        <v>413</v>
      </c>
      <c r="BU24" s="436" t="s">
        <v>446</v>
      </c>
      <c r="BV24" s="436" t="s">
        <v>446</v>
      </c>
      <c r="BW24" s="436" t="s">
        <v>446</v>
      </c>
      <c r="BX24" s="436" t="s">
        <v>446</v>
      </c>
      <c r="BY24" s="436" t="s">
        <v>446</v>
      </c>
      <c r="BZ24" s="436" t="s">
        <v>446</v>
      </c>
      <c r="CA24" s="436" t="s">
        <v>446</v>
      </c>
      <c r="CB24" s="436" t="s">
        <v>446</v>
      </c>
      <c r="CC24" s="445" t="s">
        <v>413</v>
      </c>
      <c r="CD24" s="436" t="s">
        <v>446</v>
      </c>
      <c r="CE24" s="436" t="s">
        <v>446</v>
      </c>
      <c r="CF24" s="445" t="s">
        <v>413</v>
      </c>
      <c r="CG24" s="444" t="s">
        <v>231</v>
      </c>
      <c r="CH24" s="436" t="s">
        <v>446</v>
      </c>
      <c r="CI24" s="445" t="s">
        <v>413</v>
      </c>
      <c r="CJ24" s="436" t="s">
        <v>446</v>
      </c>
      <c r="CK24" s="436" t="s">
        <v>446</v>
      </c>
      <c r="CL24" s="445" t="s">
        <v>145</v>
      </c>
      <c r="CM24" s="444" t="s">
        <v>145</v>
      </c>
      <c r="CN24" s="436" t="s">
        <v>446</v>
      </c>
      <c r="CO24" s="445" t="s">
        <v>413</v>
      </c>
      <c r="CP24" s="436" t="s">
        <v>446</v>
      </c>
      <c r="CQ24" s="436" t="s">
        <v>446</v>
      </c>
      <c r="CR24" s="436" t="s">
        <v>446</v>
      </c>
      <c r="CS24" s="436" t="s">
        <v>446</v>
      </c>
      <c r="CT24" s="436" t="s">
        <v>446</v>
      </c>
      <c r="CU24" s="436" t="s">
        <v>446</v>
      </c>
      <c r="CV24" s="436" t="s">
        <v>446</v>
      </c>
      <c r="CW24" s="436" t="s">
        <v>446</v>
      </c>
      <c r="CX24" s="436" t="s">
        <v>446</v>
      </c>
      <c r="CY24" s="436" t="s">
        <v>446</v>
      </c>
      <c r="CZ24" s="436" t="s">
        <v>446</v>
      </c>
      <c r="DA24" s="436" t="s">
        <v>446</v>
      </c>
      <c r="DB24" s="444" t="s">
        <v>231</v>
      </c>
      <c r="DC24" s="436" t="s">
        <v>446</v>
      </c>
      <c r="DD24" s="445" t="s">
        <v>149</v>
      </c>
      <c r="DE24" s="436" t="s">
        <v>446</v>
      </c>
      <c r="DF24" s="436" t="s">
        <v>446</v>
      </c>
      <c r="DG24" s="445" t="s">
        <v>145</v>
      </c>
      <c r="DH24" s="444" t="s">
        <v>145</v>
      </c>
      <c r="DI24" s="436" t="s">
        <v>446</v>
      </c>
      <c r="DJ24" s="436" t="s">
        <v>446</v>
      </c>
      <c r="DK24" s="436" t="s">
        <v>446</v>
      </c>
      <c r="DL24" s="436" t="s">
        <v>446</v>
      </c>
      <c r="DM24" s="436" t="s">
        <v>446</v>
      </c>
      <c r="DN24" s="436" t="s">
        <v>446</v>
      </c>
      <c r="DO24" s="436" t="s">
        <v>446</v>
      </c>
      <c r="DP24" s="436" t="s">
        <v>446</v>
      </c>
      <c r="DQ24" s="436" t="s">
        <v>446</v>
      </c>
      <c r="DR24" s="436" t="s">
        <v>446</v>
      </c>
      <c r="DS24" s="436" t="s">
        <v>446</v>
      </c>
      <c r="DT24" s="436" t="s">
        <v>446</v>
      </c>
      <c r="DU24" s="436" t="s">
        <v>446</v>
      </c>
      <c r="DV24" s="436" t="s">
        <v>446</v>
      </c>
      <c r="DW24" s="444" t="s">
        <v>231</v>
      </c>
      <c r="DX24" s="436" t="s">
        <v>446</v>
      </c>
      <c r="DY24" s="445" t="s">
        <v>149</v>
      </c>
      <c r="DZ24" s="436" t="s">
        <v>446</v>
      </c>
      <c r="EA24" s="436" t="s">
        <v>446</v>
      </c>
      <c r="EB24" s="445" t="s">
        <v>145</v>
      </c>
      <c r="EC24" s="444" t="s">
        <v>145</v>
      </c>
      <c r="ED24" s="436" t="s">
        <v>446</v>
      </c>
      <c r="EE24" s="436" t="s">
        <v>446</v>
      </c>
      <c r="EF24" s="436" t="s">
        <v>446</v>
      </c>
      <c r="EG24" s="436" t="s">
        <v>446</v>
      </c>
      <c r="EH24" s="436" t="s">
        <v>446</v>
      </c>
      <c r="EI24" s="436" t="s">
        <v>446</v>
      </c>
      <c r="EJ24" s="436" t="s">
        <v>446</v>
      </c>
      <c r="EK24" s="436" t="s">
        <v>446</v>
      </c>
      <c r="EL24" s="436" t="s">
        <v>446</v>
      </c>
      <c r="EM24" s="436" t="s">
        <v>446</v>
      </c>
      <c r="EN24" s="436" t="s">
        <v>446</v>
      </c>
      <c r="EO24" s="436" t="s">
        <v>446</v>
      </c>
      <c r="EP24" s="436" t="s">
        <v>446</v>
      </c>
      <c r="EQ24" s="436" t="s">
        <v>446</v>
      </c>
      <c r="ER24" s="444" t="s">
        <v>231</v>
      </c>
      <c r="ES24" s="436" t="s">
        <v>446</v>
      </c>
      <c r="ET24" s="445" t="s">
        <v>149</v>
      </c>
      <c r="EU24" s="436" t="s">
        <v>446</v>
      </c>
      <c r="EV24" s="436" t="s">
        <v>446</v>
      </c>
      <c r="EW24" s="445" t="s">
        <v>145</v>
      </c>
      <c r="EX24" s="444" t="s">
        <v>145</v>
      </c>
      <c r="EY24" s="436" t="s">
        <v>446</v>
      </c>
      <c r="EZ24" s="436" t="s">
        <v>446</v>
      </c>
      <c r="FA24" s="436" t="s">
        <v>446</v>
      </c>
      <c r="FB24" s="436" t="s">
        <v>446</v>
      </c>
      <c r="FC24" s="436" t="s">
        <v>446</v>
      </c>
      <c r="FD24" s="436" t="s">
        <v>446</v>
      </c>
      <c r="FE24" s="436" t="s">
        <v>446</v>
      </c>
      <c r="FF24" s="436" t="s">
        <v>446</v>
      </c>
      <c r="FG24" s="436" t="s">
        <v>446</v>
      </c>
      <c r="FH24" s="436" t="s">
        <v>446</v>
      </c>
      <c r="FI24" s="436" t="s">
        <v>446</v>
      </c>
      <c r="FJ24" s="436" t="s">
        <v>446</v>
      </c>
      <c r="FK24" s="436" t="s">
        <v>446</v>
      </c>
      <c r="FL24" s="436" t="s">
        <v>446</v>
      </c>
      <c r="FM24" s="444" t="s">
        <v>231</v>
      </c>
      <c r="FN24" s="436" t="s">
        <v>446</v>
      </c>
      <c r="FO24" s="445" t="s">
        <v>149</v>
      </c>
      <c r="FP24" s="436" t="s">
        <v>446</v>
      </c>
      <c r="FQ24" s="436" t="s">
        <v>446</v>
      </c>
      <c r="FR24" s="445" t="s">
        <v>145</v>
      </c>
      <c r="FS24" s="444" t="s">
        <v>145</v>
      </c>
      <c r="FT24" s="436" t="s">
        <v>446</v>
      </c>
      <c r="FU24" s="436" t="s">
        <v>446</v>
      </c>
      <c r="FV24" s="436" t="s">
        <v>446</v>
      </c>
      <c r="FW24" s="436" t="s">
        <v>446</v>
      </c>
      <c r="FX24" s="436" t="s">
        <v>446</v>
      </c>
      <c r="FY24" s="436" t="s">
        <v>446</v>
      </c>
      <c r="FZ24" s="436" t="s">
        <v>446</v>
      </c>
      <c r="GA24" s="436" t="s">
        <v>446</v>
      </c>
      <c r="GB24" s="436" t="s">
        <v>446</v>
      </c>
      <c r="GC24" s="436" t="s">
        <v>446</v>
      </c>
      <c r="GD24" s="436" t="s">
        <v>446</v>
      </c>
      <c r="GE24" s="436" t="s">
        <v>446</v>
      </c>
      <c r="GF24" s="436" t="s">
        <v>446</v>
      </c>
      <c r="GG24" s="436" t="s">
        <v>446</v>
      </c>
      <c r="GH24" s="444" t="s">
        <v>231</v>
      </c>
      <c r="GI24" s="436" t="s">
        <v>446</v>
      </c>
      <c r="GJ24" s="445" t="s">
        <v>149</v>
      </c>
      <c r="GK24" s="436" t="s">
        <v>446</v>
      </c>
      <c r="GL24" s="436" t="s">
        <v>446</v>
      </c>
      <c r="GM24" s="445" t="s">
        <v>145</v>
      </c>
      <c r="GN24" s="444" t="s">
        <v>145</v>
      </c>
      <c r="GO24" s="436" t="s">
        <v>446</v>
      </c>
      <c r="GP24" s="436" t="s">
        <v>446</v>
      </c>
      <c r="GQ24" s="436" t="s">
        <v>446</v>
      </c>
      <c r="GR24" s="436" t="s">
        <v>446</v>
      </c>
      <c r="GS24" s="436" t="s">
        <v>446</v>
      </c>
      <c r="GT24" s="436" t="s">
        <v>446</v>
      </c>
      <c r="GU24" s="436" t="s">
        <v>446</v>
      </c>
      <c r="GV24" s="436" t="s">
        <v>446</v>
      </c>
      <c r="GW24" s="436" t="s">
        <v>446</v>
      </c>
      <c r="GX24" s="436" t="s">
        <v>446</v>
      </c>
      <c r="GY24" s="436" t="s">
        <v>446</v>
      </c>
      <c r="GZ24" s="436" t="s">
        <v>446</v>
      </c>
      <c r="HA24" s="436" t="s">
        <v>446</v>
      </c>
      <c r="HB24" s="436" t="s">
        <v>446</v>
      </c>
      <c r="HC24" s="444" t="s">
        <v>231</v>
      </c>
      <c r="HD24" s="436" t="s">
        <v>446</v>
      </c>
      <c r="HE24" s="445" t="s">
        <v>149</v>
      </c>
      <c r="HF24" s="436" t="s">
        <v>446</v>
      </c>
      <c r="HG24" s="436" t="s">
        <v>446</v>
      </c>
      <c r="HH24" s="445" t="s">
        <v>145</v>
      </c>
      <c r="HI24" s="444" t="s">
        <v>145</v>
      </c>
      <c r="HJ24" s="436" t="s">
        <v>446</v>
      </c>
      <c r="HK24" s="436" t="s">
        <v>446</v>
      </c>
      <c r="HL24" s="436" t="s">
        <v>446</v>
      </c>
      <c r="HM24" s="436" t="s">
        <v>446</v>
      </c>
      <c r="HN24" s="436" t="s">
        <v>446</v>
      </c>
      <c r="HO24" s="436" t="s">
        <v>446</v>
      </c>
      <c r="HP24" s="436" t="s">
        <v>446</v>
      </c>
      <c r="HQ24" s="436" t="s">
        <v>446</v>
      </c>
      <c r="HR24" s="436" t="s">
        <v>446</v>
      </c>
      <c r="HS24" s="436" t="s">
        <v>446</v>
      </c>
      <c r="HT24" s="436" t="s">
        <v>446</v>
      </c>
      <c r="HU24" s="436" t="s">
        <v>446</v>
      </c>
      <c r="HV24" s="436" t="s">
        <v>446</v>
      </c>
      <c r="HW24" s="436" t="s">
        <v>446</v>
      </c>
      <c r="HX24" s="444" t="s">
        <v>231</v>
      </c>
      <c r="HY24" s="436" t="s">
        <v>446</v>
      </c>
      <c r="HZ24" s="445" t="s">
        <v>149</v>
      </c>
      <c r="IA24" s="436" t="s">
        <v>446</v>
      </c>
      <c r="IB24" s="436" t="s">
        <v>446</v>
      </c>
      <c r="IC24" s="445" t="s">
        <v>145</v>
      </c>
      <c r="ID24" s="444" t="s">
        <v>145</v>
      </c>
      <c r="IE24" s="436" t="s">
        <v>446</v>
      </c>
      <c r="IF24" s="436" t="s">
        <v>446</v>
      </c>
      <c r="IG24" s="436" t="s">
        <v>446</v>
      </c>
      <c r="IH24" s="436" t="s">
        <v>446</v>
      </c>
      <c r="II24" s="436" t="s">
        <v>446</v>
      </c>
      <c r="IJ24" s="436" t="s">
        <v>446</v>
      </c>
      <c r="IK24" s="436" t="s">
        <v>446</v>
      </c>
      <c r="IL24" s="436" t="s">
        <v>446</v>
      </c>
      <c r="IM24" s="436" t="s">
        <v>446</v>
      </c>
      <c r="IN24" s="436" t="s">
        <v>446</v>
      </c>
      <c r="IO24" s="436" t="s">
        <v>446</v>
      </c>
      <c r="IP24" s="436" t="s">
        <v>446</v>
      </c>
      <c r="IQ24" s="436" t="s">
        <v>446</v>
      </c>
      <c r="IR24" s="436" t="s">
        <v>446</v>
      </c>
      <c r="IS24" s="444" t="s">
        <v>231</v>
      </c>
      <c r="IT24" s="436" t="s">
        <v>446</v>
      </c>
      <c r="IU24" s="445" t="s">
        <v>149</v>
      </c>
      <c r="IV24" s="436" t="s">
        <v>446</v>
      </c>
      <c r="IW24" s="436" t="s">
        <v>446</v>
      </c>
      <c r="IX24" s="445" t="s">
        <v>145</v>
      </c>
      <c r="IY24" s="444" t="s">
        <v>145</v>
      </c>
      <c r="IZ24" s="436" t="s">
        <v>446</v>
      </c>
      <c r="JA24" s="436" t="s">
        <v>446</v>
      </c>
      <c r="JB24" s="436" t="s">
        <v>446</v>
      </c>
      <c r="JC24" s="436" t="s">
        <v>446</v>
      </c>
      <c r="JD24" s="436" t="s">
        <v>446</v>
      </c>
      <c r="JE24" s="436" t="s">
        <v>446</v>
      </c>
      <c r="JF24" s="436" t="s">
        <v>446</v>
      </c>
      <c r="JG24" s="436" t="s">
        <v>446</v>
      </c>
      <c r="JH24" s="436" t="s">
        <v>446</v>
      </c>
      <c r="JI24" s="436" t="s">
        <v>446</v>
      </c>
      <c r="JJ24" s="436" t="s">
        <v>446</v>
      </c>
      <c r="JK24" s="436" t="s">
        <v>446</v>
      </c>
      <c r="JL24" s="436" t="s">
        <v>446</v>
      </c>
      <c r="JM24" s="436" t="s">
        <v>446</v>
      </c>
      <c r="JN24" s="444" t="s">
        <v>231</v>
      </c>
      <c r="JO24" s="436" t="s">
        <v>446</v>
      </c>
      <c r="JP24" s="445" t="s">
        <v>149</v>
      </c>
      <c r="JQ24" s="436" t="s">
        <v>446</v>
      </c>
      <c r="JR24" s="436" t="s">
        <v>446</v>
      </c>
      <c r="JS24" s="445" t="s">
        <v>145</v>
      </c>
      <c r="JT24" s="444" t="s">
        <v>145</v>
      </c>
      <c r="JU24" s="436" t="s">
        <v>446</v>
      </c>
      <c r="JV24" s="436" t="s">
        <v>446</v>
      </c>
      <c r="JW24" s="436" t="s">
        <v>446</v>
      </c>
      <c r="JX24" s="436" t="s">
        <v>446</v>
      </c>
      <c r="JY24" s="436" t="s">
        <v>446</v>
      </c>
      <c r="JZ24" s="436" t="s">
        <v>446</v>
      </c>
      <c r="KA24" s="436" t="s">
        <v>446</v>
      </c>
      <c r="KB24" s="436" t="s">
        <v>446</v>
      </c>
      <c r="KC24" s="436" t="s">
        <v>446</v>
      </c>
      <c r="KD24" s="436" t="s">
        <v>446</v>
      </c>
      <c r="KE24" s="436" t="s">
        <v>446</v>
      </c>
      <c r="KF24" s="436" t="s">
        <v>446</v>
      </c>
      <c r="KG24" s="436" t="s">
        <v>446</v>
      </c>
      <c r="KH24" s="436" t="s">
        <v>446</v>
      </c>
      <c r="KI24" s="444" t="s">
        <v>231</v>
      </c>
      <c r="KJ24" s="436" t="s">
        <v>446</v>
      </c>
      <c r="KK24" s="445" t="s">
        <v>149</v>
      </c>
      <c r="KL24" s="436" t="s">
        <v>446</v>
      </c>
      <c r="KM24" s="436" t="s">
        <v>446</v>
      </c>
      <c r="KN24" s="445" t="s">
        <v>145</v>
      </c>
      <c r="KO24" s="444" t="s">
        <v>145</v>
      </c>
      <c r="KP24" s="436" t="s">
        <v>446</v>
      </c>
      <c r="KQ24" s="436" t="s">
        <v>446</v>
      </c>
      <c r="KR24" s="436" t="s">
        <v>446</v>
      </c>
      <c r="KS24" s="436" t="s">
        <v>446</v>
      </c>
      <c r="KT24" s="436" t="s">
        <v>446</v>
      </c>
      <c r="KU24" s="436" t="s">
        <v>446</v>
      </c>
      <c r="KV24" s="436" t="s">
        <v>446</v>
      </c>
      <c r="KW24" s="436" t="s">
        <v>446</v>
      </c>
      <c r="KX24" s="436" t="s">
        <v>446</v>
      </c>
      <c r="KY24" s="436" t="s">
        <v>446</v>
      </c>
      <c r="KZ24" s="436" t="s">
        <v>446</v>
      </c>
      <c r="LA24" s="436" t="s">
        <v>446</v>
      </c>
      <c r="LB24" s="436" t="s">
        <v>446</v>
      </c>
      <c r="LC24" s="436" t="s">
        <v>446</v>
      </c>
      <c r="LD24" s="444" t="s">
        <v>231</v>
      </c>
      <c r="LE24" s="436" t="s">
        <v>446</v>
      </c>
      <c r="LF24" s="445" t="s">
        <v>149</v>
      </c>
      <c r="LG24" s="436" t="s">
        <v>446</v>
      </c>
      <c r="LH24" s="436" t="s">
        <v>446</v>
      </c>
      <c r="LI24" s="445" t="s">
        <v>145</v>
      </c>
      <c r="LJ24" s="444" t="s">
        <v>145</v>
      </c>
      <c r="LK24" s="436" t="s">
        <v>446</v>
      </c>
      <c r="LL24" s="436" t="s">
        <v>446</v>
      </c>
      <c r="LM24" s="436" t="s">
        <v>446</v>
      </c>
      <c r="LN24" s="436" t="s">
        <v>446</v>
      </c>
      <c r="LO24" s="436" t="s">
        <v>446</v>
      </c>
      <c r="LP24" s="436" t="s">
        <v>446</v>
      </c>
      <c r="LQ24" s="436" t="s">
        <v>446</v>
      </c>
      <c r="LR24" s="436" t="s">
        <v>446</v>
      </c>
      <c r="LS24" s="436" t="s">
        <v>446</v>
      </c>
      <c r="LT24" s="436" t="s">
        <v>446</v>
      </c>
      <c r="LU24" s="436" t="s">
        <v>446</v>
      </c>
      <c r="LV24" s="436" t="s">
        <v>446</v>
      </c>
      <c r="LW24" s="436" t="s">
        <v>446</v>
      </c>
      <c r="LX24" s="436" t="s">
        <v>446</v>
      </c>
      <c r="LY24" s="444" t="s">
        <v>231</v>
      </c>
      <c r="LZ24" s="436" t="s">
        <v>446</v>
      </c>
      <c r="MA24" s="445" t="s">
        <v>149</v>
      </c>
      <c r="MB24" s="436" t="s">
        <v>446</v>
      </c>
      <c r="MC24" s="436" t="s">
        <v>446</v>
      </c>
      <c r="MD24" s="445" t="s">
        <v>145</v>
      </c>
      <c r="ME24" s="444" t="s">
        <v>145</v>
      </c>
      <c r="MF24" s="436" t="s">
        <v>446</v>
      </c>
      <c r="MG24" s="436" t="s">
        <v>446</v>
      </c>
      <c r="MH24" s="436" t="s">
        <v>446</v>
      </c>
      <c r="MI24" s="436" t="s">
        <v>446</v>
      </c>
      <c r="MJ24" s="436" t="s">
        <v>446</v>
      </c>
      <c r="MK24" s="436" t="s">
        <v>446</v>
      </c>
      <c r="ML24" s="436" t="s">
        <v>446</v>
      </c>
      <c r="MM24" s="436" t="s">
        <v>446</v>
      </c>
      <c r="MN24" s="436" t="s">
        <v>446</v>
      </c>
      <c r="MO24" s="436" t="s">
        <v>446</v>
      </c>
      <c r="MP24" s="436" t="s">
        <v>446</v>
      </c>
      <c r="MQ24" s="436" t="s">
        <v>446</v>
      </c>
      <c r="MR24" s="436" t="s">
        <v>446</v>
      </c>
      <c r="MS24" s="436" t="s">
        <v>446</v>
      </c>
      <c r="MT24" s="444" t="s">
        <v>231</v>
      </c>
      <c r="MU24" s="436" t="s">
        <v>446</v>
      </c>
      <c r="MV24" s="445" t="s">
        <v>149</v>
      </c>
      <c r="MW24" s="436" t="s">
        <v>446</v>
      </c>
      <c r="MX24" s="436" t="s">
        <v>446</v>
      </c>
      <c r="MY24" s="445" t="s">
        <v>145</v>
      </c>
      <c r="MZ24" s="444" t="s">
        <v>145</v>
      </c>
      <c r="NA24" s="436" t="s">
        <v>446</v>
      </c>
      <c r="NB24" s="436" t="s">
        <v>446</v>
      </c>
      <c r="NC24" s="436" t="s">
        <v>446</v>
      </c>
      <c r="ND24" s="436" t="s">
        <v>446</v>
      </c>
      <c r="NE24" s="436" t="s">
        <v>446</v>
      </c>
      <c r="NF24" s="436" t="s">
        <v>446</v>
      </c>
      <c r="NG24" s="436" t="s">
        <v>446</v>
      </c>
      <c r="NH24" s="436" t="s">
        <v>446</v>
      </c>
      <c r="NI24" s="436" t="s">
        <v>446</v>
      </c>
      <c r="NJ24" s="436" t="s">
        <v>446</v>
      </c>
      <c r="NK24" s="436" t="s">
        <v>446</v>
      </c>
      <c r="NL24" s="436" t="s">
        <v>446</v>
      </c>
      <c r="NM24" s="436" t="s">
        <v>446</v>
      </c>
      <c r="NN24" s="436" t="s">
        <v>446</v>
      </c>
      <c r="NO24" s="444" t="s">
        <v>231</v>
      </c>
      <c r="NP24" s="436" t="s">
        <v>446</v>
      </c>
      <c r="NQ24" s="445" t="s">
        <v>149</v>
      </c>
      <c r="NR24" s="436" t="s">
        <v>446</v>
      </c>
      <c r="NS24" s="436" t="s">
        <v>446</v>
      </c>
      <c r="NT24" s="445" t="s">
        <v>145</v>
      </c>
      <c r="NU24" s="444" t="s">
        <v>145</v>
      </c>
      <c r="NV24" s="436" t="s">
        <v>446</v>
      </c>
      <c r="NW24" s="436" t="s">
        <v>446</v>
      </c>
      <c r="NX24" s="436" t="s">
        <v>446</v>
      </c>
      <c r="NY24" s="436" t="s">
        <v>446</v>
      </c>
      <c r="NZ24" s="436" t="s">
        <v>446</v>
      </c>
      <c r="OA24" s="436" t="s">
        <v>446</v>
      </c>
      <c r="OB24" s="436" t="s">
        <v>446</v>
      </c>
      <c r="OC24" s="436" t="s">
        <v>446</v>
      </c>
      <c r="OD24" s="436" t="s">
        <v>446</v>
      </c>
      <c r="OE24" s="436" t="s">
        <v>446</v>
      </c>
      <c r="OF24" s="436" t="s">
        <v>446</v>
      </c>
      <c r="OG24" s="436" t="s">
        <v>446</v>
      </c>
      <c r="OH24" s="436" t="s">
        <v>446</v>
      </c>
      <c r="OI24" s="436" t="s">
        <v>446</v>
      </c>
      <c r="OJ24" s="444" t="s">
        <v>231</v>
      </c>
      <c r="OK24" s="436" t="s">
        <v>446</v>
      </c>
      <c r="OL24" s="445" t="s">
        <v>149</v>
      </c>
      <c r="OM24" s="436" t="s">
        <v>446</v>
      </c>
      <c r="ON24" s="436" t="s">
        <v>446</v>
      </c>
      <c r="OO24" s="445" t="s">
        <v>145</v>
      </c>
      <c r="OP24" s="444" t="s">
        <v>145</v>
      </c>
      <c r="OQ24" s="436" t="s">
        <v>446</v>
      </c>
      <c r="OR24" s="436" t="s">
        <v>446</v>
      </c>
      <c r="OS24" s="436" t="s">
        <v>446</v>
      </c>
      <c r="OT24" s="436" t="s">
        <v>446</v>
      </c>
      <c r="OU24" s="436" t="s">
        <v>446</v>
      </c>
      <c r="OV24" s="436" t="s">
        <v>446</v>
      </c>
      <c r="OW24" s="436" t="s">
        <v>446</v>
      </c>
      <c r="OX24" s="436" t="s">
        <v>446</v>
      </c>
      <c r="OY24" s="436" t="s">
        <v>446</v>
      </c>
      <c r="OZ24" s="436" t="s">
        <v>446</v>
      </c>
      <c r="PA24" s="436" t="s">
        <v>446</v>
      </c>
      <c r="PB24" s="436" t="s">
        <v>446</v>
      </c>
      <c r="PC24" s="436" t="s">
        <v>446</v>
      </c>
      <c r="PD24" s="436" t="s">
        <v>446</v>
      </c>
      <c r="PE24" s="444" t="s">
        <v>231</v>
      </c>
      <c r="PF24" s="436" t="s">
        <v>446</v>
      </c>
      <c r="PG24" s="436" t="s">
        <v>446</v>
      </c>
      <c r="PH24" s="436" t="s">
        <v>446</v>
      </c>
      <c r="PI24" s="436" t="s">
        <v>446</v>
      </c>
      <c r="PJ24" s="445" t="s">
        <v>145</v>
      </c>
      <c r="PK24" s="444" t="s">
        <v>145</v>
      </c>
      <c r="PL24" s="436" t="s">
        <v>446</v>
      </c>
      <c r="PM24" s="436" t="s">
        <v>446</v>
      </c>
      <c r="PN24" s="436" t="s">
        <v>446</v>
      </c>
      <c r="PO24" s="436" t="s">
        <v>446</v>
      </c>
      <c r="PP24" s="436" t="s">
        <v>446</v>
      </c>
      <c r="PQ24" s="436" t="s">
        <v>446</v>
      </c>
      <c r="PR24" s="436" t="s">
        <v>446</v>
      </c>
      <c r="PS24" s="436" t="s">
        <v>446</v>
      </c>
      <c r="PT24" s="436" t="s">
        <v>446</v>
      </c>
      <c r="PU24" s="436" t="s">
        <v>446</v>
      </c>
      <c r="PV24" s="436" t="s">
        <v>446</v>
      </c>
      <c r="PW24" s="436" t="s">
        <v>446</v>
      </c>
      <c r="PX24" s="436" t="s">
        <v>446</v>
      </c>
      <c r="PY24" s="436" t="s">
        <v>446</v>
      </c>
      <c r="PZ24" s="444" t="s">
        <v>231</v>
      </c>
      <c r="QA24" s="436" t="s">
        <v>446</v>
      </c>
      <c r="QB24" s="436" t="s">
        <v>446</v>
      </c>
      <c r="QC24" s="436" t="s">
        <v>446</v>
      </c>
      <c r="QD24" s="436" t="s">
        <v>446</v>
      </c>
      <c r="QE24" s="445" t="s">
        <v>145</v>
      </c>
      <c r="QF24" s="444" t="s">
        <v>145</v>
      </c>
      <c r="QG24" s="436" t="s">
        <v>446</v>
      </c>
      <c r="QH24" s="436" t="s">
        <v>446</v>
      </c>
      <c r="QI24" s="436" t="s">
        <v>446</v>
      </c>
      <c r="QJ24" s="436" t="s">
        <v>446</v>
      </c>
      <c r="QK24" s="436" t="s">
        <v>446</v>
      </c>
      <c r="QL24" s="436" t="s">
        <v>446</v>
      </c>
      <c r="QM24" s="436" t="s">
        <v>446</v>
      </c>
      <c r="QN24" s="436" t="s">
        <v>446</v>
      </c>
      <c r="QO24" s="446" t="s">
        <v>446</v>
      </c>
    </row>
  </sheetData>
  <conditionalFormatting sqref="B1:QO24">
    <cfRule type="cellIs" dxfId="115" priority="1" operator="equal">
      <formula>"Livre"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PreencherControleDeSalas">
                <anchor moveWithCells="1" sizeWithCells="1">
                  <from>
                    <xdr:col>0</xdr:col>
                    <xdr:colOff>0</xdr:colOff>
                    <xdr:row>25</xdr:row>
                    <xdr:rowOff>47625</xdr:rowOff>
                  </from>
                  <to>
                    <xdr:col>0</xdr:col>
                    <xdr:colOff>1485900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42E23-C0BE-4AEB-B553-A57894190CB4}">
  <sheetPr codeName="Planilha10"/>
  <dimension ref="A1:E30"/>
  <sheetViews>
    <sheetView showGridLines="0" workbookViewId="0">
      <selection activeCell="G10" sqref="G10"/>
    </sheetView>
  </sheetViews>
  <sheetFormatPr defaultRowHeight="15" x14ac:dyDescent="0.25"/>
  <cols>
    <col min="1" max="1" width="21" style="49" bestFit="1" customWidth="1"/>
    <col min="2" max="5" width="9.140625" style="49"/>
  </cols>
  <sheetData>
    <row r="1" spans="1:5" ht="15.75" thickBot="1" x14ac:dyDescent="0.3">
      <c r="A1" s="456" t="s">
        <v>367</v>
      </c>
      <c r="B1" s="457"/>
      <c r="C1" s="457"/>
      <c r="D1" s="457"/>
      <c r="E1" s="458"/>
    </row>
    <row r="2" spans="1:5" ht="15.75" thickBot="1" x14ac:dyDescent="0.3"/>
    <row r="3" spans="1:5" x14ac:dyDescent="0.25">
      <c r="A3" s="450" t="s">
        <v>157</v>
      </c>
      <c r="B3" s="451"/>
      <c r="C3" s="451"/>
      <c r="D3" s="451"/>
      <c r="E3" s="452"/>
    </row>
    <row r="4" spans="1:5" x14ac:dyDescent="0.25">
      <c r="A4" s="307">
        <v>45831</v>
      </c>
      <c r="B4" s="140">
        <v>0.33333333333333331</v>
      </c>
      <c r="C4" s="140">
        <v>0.5</v>
      </c>
      <c r="D4" s="140">
        <v>0.54166666666666663</v>
      </c>
      <c r="E4" s="308">
        <v>0.70833333333333337</v>
      </c>
    </row>
    <row r="5" spans="1:5" x14ac:dyDescent="0.25">
      <c r="A5" s="307" t="s">
        <v>371</v>
      </c>
      <c r="B5" s="138"/>
      <c r="C5" s="138"/>
      <c r="D5" s="140">
        <v>0.5625</v>
      </c>
      <c r="E5" s="308">
        <v>0.89583333333333337</v>
      </c>
    </row>
    <row r="6" spans="1:5" x14ac:dyDescent="0.25">
      <c r="A6" s="307">
        <v>45835</v>
      </c>
      <c r="B6" s="140">
        <v>0.33333333333333331</v>
      </c>
      <c r="C6" s="140">
        <v>0.5</v>
      </c>
      <c r="D6" s="140">
        <v>0.54166666666666663</v>
      </c>
      <c r="E6" s="308">
        <v>0.70833333333333337</v>
      </c>
    </row>
    <row r="7" spans="1:5" ht="15.75" thickBot="1" x14ac:dyDescent="0.3">
      <c r="A7" s="309">
        <v>45838</v>
      </c>
      <c r="B7" s="163">
        <v>0.33333333333333331</v>
      </c>
      <c r="C7" s="163">
        <v>0.5</v>
      </c>
      <c r="D7" s="163">
        <v>0.54166666666666663</v>
      </c>
      <c r="E7" s="310">
        <v>0.70833333333333337</v>
      </c>
    </row>
    <row r="8" spans="1:5" ht="15.75" thickBot="1" x14ac:dyDescent="0.3"/>
    <row r="9" spans="1:5" x14ac:dyDescent="0.25">
      <c r="A9" s="450" t="s">
        <v>158</v>
      </c>
      <c r="B9" s="451"/>
      <c r="C9" s="451"/>
      <c r="D9" s="451"/>
      <c r="E9" s="452"/>
    </row>
    <row r="10" spans="1:5" ht="15.75" thickBot="1" x14ac:dyDescent="0.3">
      <c r="A10" s="311" t="s">
        <v>372</v>
      </c>
      <c r="B10" s="163">
        <v>0.33333333333333331</v>
      </c>
      <c r="C10" s="163">
        <v>0.5</v>
      </c>
      <c r="D10" s="163">
        <v>0.54166666666666663</v>
      </c>
      <c r="E10" s="310">
        <v>0.70833333333333337</v>
      </c>
    </row>
    <row r="11" spans="1:5" ht="15.75" thickBot="1" x14ac:dyDescent="0.3"/>
    <row r="12" spans="1:5" x14ac:dyDescent="0.25">
      <c r="A12" s="453" t="s">
        <v>368</v>
      </c>
      <c r="B12" s="454"/>
      <c r="C12" s="454"/>
      <c r="D12" s="454"/>
      <c r="E12" s="455"/>
    </row>
    <row r="13" spans="1:5" x14ac:dyDescent="0.25">
      <c r="A13" s="312" t="s">
        <v>370</v>
      </c>
      <c r="B13" s="140">
        <v>0.33333333333333331</v>
      </c>
      <c r="C13" s="140">
        <v>0.70833333333333337</v>
      </c>
      <c r="D13" s="138"/>
      <c r="E13" s="313"/>
    </row>
    <row r="14" spans="1:5" ht="15.75" thickBot="1" x14ac:dyDescent="0.3">
      <c r="A14" s="314" t="s">
        <v>369</v>
      </c>
      <c r="B14" s="163">
        <v>0.33333333333333331</v>
      </c>
      <c r="C14" s="163">
        <v>0.52083333333333337</v>
      </c>
      <c r="D14" s="163">
        <v>0.5625</v>
      </c>
      <c r="E14" s="310">
        <v>0.91666666666666663</v>
      </c>
    </row>
    <row r="16" spans="1:5" ht="15.75" thickBot="1" x14ac:dyDescent="0.3"/>
    <row r="17" spans="1:5" ht="15.75" thickBot="1" x14ac:dyDescent="0.3">
      <c r="A17" s="456" t="s">
        <v>367</v>
      </c>
      <c r="B17" s="457"/>
      <c r="C17" s="457"/>
      <c r="D17" s="457"/>
      <c r="E17" s="458"/>
    </row>
    <row r="18" spans="1:5" ht="15.75" thickBot="1" x14ac:dyDescent="0.3"/>
    <row r="19" spans="1:5" x14ac:dyDescent="0.25">
      <c r="A19" s="450" t="s">
        <v>157</v>
      </c>
      <c r="B19" s="451"/>
      <c r="C19" s="451"/>
      <c r="D19" s="451"/>
      <c r="E19" s="452"/>
    </row>
    <row r="20" spans="1:5" x14ac:dyDescent="0.25">
      <c r="A20" s="307">
        <v>45831</v>
      </c>
      <c r="B20" s="140">
        <v>0.33333333333333331</v>
      </c>
      <c r="C20" s="140">
        <v>0.5</v>
      </c>
      <c r="D20" s="140">
        <v>0.54166666666666663</v>
      </c>
      <c r="E20" s="308">
        <v>0.70833333333333337</v>
      </c>
    </row>
    <row r="21" spans="1:5" x14ac:dyDescent="0.25">
      <c r="A21" s="307" t="s">
        <v>371</v>
      </c>
      <c r="B21" s="138"/>
      <c r="C21" s="138"/>
      <c r="D21" s="140">
        <v>0.5625</v>
      </c>
      <c r="E21" s="308">
        <v>0.89583333333333337</v>
      </c>
    </row>
    <row r="22" spans="1:5" x14ac:dyDescent="0.25">
      <c r="A22" s="307">
        <v>45835</v>
      </c>
      <c r="B22" s="140">
        <v>0.33333333333333331</v>
      </c>
      <c r="C22" s="140">
        <v>0.5</v>
      </c>
      <c r="D22" s="140">
        <v>0.54166666666666663</v>
      </c>
      <c r="E22" s="308">
        <v>0.70833333333333337</v>
      </c>
    </row>
    <row r="23" spans="1:5" ht="15.75" thickBot="1" x14ac:dyDescent="0.3">
      <c r="A23" s="309">
        <v>45838</v>
      </c>
      <c r="B23" s="163">
        <v>0.33333333333333331</v>
      </c>
      <c r="C23" s="163">
        <v>0.5</v>
      </c>
      <c r="D23" s="163">
        <v>0.54166666666666663</v>
      </c>
      <c r="E23" s="310">
        <v>0.70833333333333337</v>
      </c>
    </row>
    <row r="24" spans="1:5" ht="15.75" thickBot="1" x14ac:dyDescent="0.3"/>
    <row r="25" spans="1:5" x14ac:dyDescent="0.25">
      <c r="A25" s="450" t="s">
        <v>158</v>
      </c>
      <c r="B25" s="451"/>
      <c r="C25" s="451"/>
      <c r="D25" s="451"/>
      <c r="E25" s="452"/>
    </row>
    <row r="26" spans="1:5" ht="15.75" thickBot="1" x14ac:dyDescent="0.3">
      <c r="A26" s="311" t="s">
        <v>372</v>
      </c>
      <c r="B26" s="163">
        <v>0.33333333333333331</v>
      </c>
      <c r="C26" s="163">
        <v>0.5</v>
      </c>
      <c r="D26" s="163">
        <v>0.54166666666666663</v>
      </c>
      <c r="E26" s="310">
        <v>0.70833333333333337</v>
      </c>
    </row>
    <row r="27" spans="1:5" ht="15.75" thickBot="1" x14ac:dyDescent="0.3"/>
    <row r="28" spans="1:5" x14ac:dyDescent="0.25">
      <c r="A28" s="453" t="s">
        <v>368</v>
      </c>
      <c r="B28" s="454"/>
      <c r="C28" s="454"/>
      <c r="D28" s="454"/>
      <c r="E28" s="455"/>
    </row>
    <row r="29" spans="1:5" x14ac:dyDescent="0.25">
      <c r="A29" s="312" t="s">
        <v>370</v>
      </c>
      <c r="B29" s="140">
        <v>0.33333333333333331</v>
      </c>
      <c r="C29" s="140">
        <v>0.70833333333333337</v>
      </c>
      <c r="D29" s="138"/>
      <c r="E29" s="313"/>
    </row>
    <row r="30" spans="1:5" ht="15.75" thickBot="1" x14ac:dyDescent="0.3">
      <c r="A30" s="314" t="s">
        <v>369</v>
      </c>
      <c r="B30" s="163">
        <v>0.33333333333333331</v>
      </c>
      <c r="C30" s="163">
        <v>0.52083333333333337</v>
      </c>
      <c r="D30" s="163">
        <v>0.5625</v>
      </c>
      <c r="E30" s="310">
        <v>0.91666666666666663</v>
      </c>
    </row>
  </sheetData>
  <mergeCells count="8">
    <mergeCell ref="A25:E25"/>
    <mergeCell ref="A28:E28"/>
    <mergeCell ref="A12:E12"/>
    <mergeCell ref="A1:E1"/>
    <mergeCell ref="A9:E9"/>
    <mergeCell ref="A3:E3"/>
    <mergeCell ref="A17:E17"/>
    <mergeCell ref="A19:E19"/>
  </mergeCells>
  <phoneticPr fontId="23" type="noConversion"/>
  <printOptions horizontalCentered="1"/>
  <pageMargins left="0.51181102362204722" right="0.51181102362204722" top="0.78740157480314965" bottom="0.78740157480314965" header="0.31496062992125984" footer="0.31496062992125984"/>
  <pageSetup paperSize="9" scale="14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F371-8B8B-4157-91F8-D2DB640D5E3D}">
  <sheetPr codeName="Planilha11"/>
  <dimension ref="A1:G113"/>
  <sheetViews>
    <sheetView workbookViewId="0">
      <selection activeCell="A2" sqref="A2"/>
    </sheetView>
  </sheetViews>
  <sheetFormatPr defaultRowHeight="15" x14ac:dyDescent="0.25"/>
  <cols>
    <col min="1" max="1" width="18.28515625" style="4" bestFit="1" customWidth="1"/>
    <col min="2" max="2" width="50.85546875" bestFit="1" customWidth="1"/>
    <col min="3" max="3" width="15.140625" style="234" customWidth="1"/>
    <col min="4" max="4" width="19.28515625" style="40" customWidth="1"/>
    <col min="5" max="5" width="17.140625" style="234" customWidth="1"/>
    <col min="7" max="7" width="12.140625" bestFit="1" customWidth="1"/>
  </cols>
  <sheetData>
    <row r="1" spans="1:5" x14ac:dyDescent="0.25">
      <c r="A1" s="4" t="s">
        <v>282</v>
      </c>
    </row>
    <row r="2" spans="1:5" s="214" customFormat="1" ht="30" x14ac:dyDescent="0.25">
      <c r="A2" s="17" t="s">
        <v>93</v>
      </c>
      <c r="B2" s="237" t="s">
        <v>2</v>
      </c>
      <c r="C2" s="238" t="s">
        <v>72</v>
      </c>
      <c r="D2" s="239" t="s">
        <v>283</v>
      </c>
      <c r="E2" s="239" t="s">
        <v>321</v>
      </c>
    </row>
    <row r="3" spans="1:5" x14ac:dyDescent="0.25">
      <c r="A3" s="42" t="str">
        <f>Planejamento2025[[#This Row],[ID]]</f>
        <v>AuxAdm_T1</v>
      </c>
      <c r="B3" s="233" t="str">
        <f>IFERROR(VLOOKUP(A3,Planejamento2025[[#Data],[#Totals]],2,FALSE),0)</f>
        <v>Auxiliar Administrativo</v>
      </c>
      <c r="C3" s="236">
        <f>IFERROR(VLOOKUP(A3,Planejamento2025[[#Data],[#Totals]],24,FALSE),0)</f>
        <v>7600</v>
      </c>
      <c r="D3" s="240">
        <f>IFERROR(VLOOKUP(A3,'RH '!$A$4:$I$27,9,FALSE),0)</f>
        <v>7552.5</v>
      </c>
      <c r="E3" s="236">
        <f>IFERROR(VLOOKUP(A3,Insumos!$A$3:$I$10,9,FALSE),0)</f>
        <v>0</v>
      </c>
    </row>
    <row r="4" spans="1:5" x14ac:dyDescent="0.25">
      <c r="A4" s="42" t="str">
        <f>Planejamento2025[[#This Row],[ID]]</f>
        <v>LidGes_T1</v>
      </c>
      <c r="B4" s="233" t="str">
        <f>IFERROR(VLOOKUP(A4,Planejamento2025[[#Data],[#Totals]],2,FALSE),0)</f>
        <v>Liderança Gestão Estratégica de Equipes</v>
      </c>
      <c r="C4" s="236">
        <f>IFERROR(VLOOKUP(A4,Planejamento2025[[#Data],[#Totals]],24,FALSE),0)</f>
        <v>7600</v>
      </c>
      <c r="D4" s="240">
        <f>IFERROR(VLOOKUP(A4,'RH '!$A$4:$I$27,9,FALSE),0)</f>
        <v>7552.5</v>
      </c>
      <c r="E4" s="236">
        <f>IFERROR(VLOOKUP(A4,Insumos!$A$3:$I$10,9,FALSE),0)</f>
        <v>0</v>
      </c>
    </row>
    <row r="5" spans="1:5" x14ac:dyDescent="0.25">
      <c r="A5" s="42" t="str">
        <f>Planejamento2025[[#This Row],[ID]]</f>
        <v>SorArt_T1</v>
      </c>
      <c r="B5" s="233" t="str">
        <f>IFERROR(VLOOKUP(A5,Planejamento2025[[#Data],[#Totals]],2,FALSE),0)</f>
        <v>Sorvetes Artesanais</v>
      </c>
      <c r="C5" s="236">
        <f>IFERROR(VLOOKUP(A5,Planejamento2025[[#Data],[#Totals]],24,FALSE),0)</f>
        <v>855</v>
      </c>
      <c r="D5" s="240">
        <f>IFERROR(VLOOKUP(A5,'RH '!$A$4:$I$27,9,FALSE),0)</f>
        <v>855</v>
      </c>
      <c r="E5" s="236">
        <f>IFERROR(VLOOKUP(A5,Insumos!$A$3:$I$10,9,FALSE),0)</f>
        <v>244.77</v>
      </c>
    </row>
    <row r="6" spans="1:5" x14ac:dyDescent="0.25">
      <c r="A6" s="42" t="str">
        <f>Planejamento2025[[#This Row],[ID]]</f>
        <v>PacOff_T1</v>
      </c>
      <c r="B6" s="233" t="str">
        <f>IFERROR(VLOOKUP(A6,Planejamento2025[[#Data],[#Totals]],2,FALSE),0)</f>
        <v>Pacote Office</v>
      </c>
      <c r="C6" s="236">
        <f>IFERROR(VLOOKUP(A6,Planejamento2025[[#Data],[#Totals]],24,FALSE),0)</f>
        <v>4560</v>
      </c>
      <c r="D6" s="240">
        <f>IFERROR(VLOOKUP(A6,'RH '!$A$4:$I$27,9,FALSE),0)</f>
        <v>4560</v>
      </c>
      <c r="E6" s="236">
        <f>IFERROR(VLOOKUP(A6,Insumos!$A$3:$I$10,9,FALSE),0)</f>
        <v>0</v>
      </c>
    </row>
    <row r="7" spans="1:5" x14ac:dyDescent="0.25">
      <c r="A7" s="42" t="str">
        <f>Planejamento2025[[#This Row],[ID]]</f>
        <v>InfBás_T1</v>
      </c>
      <c r="B7" s="233" t="str">
        <f>IFERROR(VLOOKUP(A7,Planejamento2025[[#Data],[#Totals]],2,FALSE),0)</f>
        <v>Informática Básica</v>
      </c>
      <c r="C7" s="236">
        <f>IFERROR(VLOOKUP(A7,Planejamento2025[[#Data],[#Totals]],24,FALSE),0)</f>
        <v>2850</v>
      </c>
      <c r="D7" s="240">
        <f>IFERROR(VLOOKUP(A7,'RH '!$A$4:$I$27,9,FALSE),0)</f>
        <v>2850</v>
      </c>
      <c r="E7" s="236">
        <f>IFERROR(VLOOKUP(A7,Insumos!$A$3:$I$10,9,FALSE),0)</f>
        <v>0</v>
      </c>
    </row>
    <row r="8" spans="1:5" x14ac:dyDescent="0.25">
      <c r="A8" s="42" t="str">
        <f>Planejamento2025[[#This Row],[ID]]</f>
        <v>Ing _T1</v>
      </c>
      <c r="B8" s="233" t="str">
        <f>IFERROR(VLOOKUP(A8,Planejamento2025[[#Data],[#Totals]],2,FALSE),0)</f>
        <v>Inglês</v>
      </c>
      <c r="C8" s="236">
        <f>IFERROR(VLOOKUP(A8,Planejamento2025[[#Data],[#Totals]],24,FALSE),0)</f>
        <v>3800</v>
      </c>
      <c r="D8" s="240">
        <f>IFERROR(VLOOKUP(A8,'RH '!$A$4:$I$27,9,FALSE),0)</f>
        <v>3705</v>
      </c>
      <c r="E8" s="236">
        <f>IFERROR(VLOOKUP(A8,Insumos!$A$3:$I$10,9,FALSE),0)</f>
        <v>0</v>
      </c>
    </row>
    <row r="9" spans="1:5" x14ac:dyDescent="0.25">
      <c r="A9" s="42" t="str">
        <f>Planejamento2025[[#This Row],[ID]]</f>
        <v>Gin _T1</v>
      </c>
      <c r="B9" s="233" t="str">
        <f>IFERROR(VLOOKUP(A9,Planejamento2025[[#Data],[#Totals]],2,FALSE),0)</f>
        <v>Ginastica</v>
      </c>
      <c r="C9" s="236">
        <f>IFERROR(VLOOKUP(A9,Planejamento2025[[#Data],[#Totals]],24,FALSE),0)</f>
        <v>1045</v>
      </c>
      <c r="D9" s="240">
        <f>IFERROR(VLOOKUP(A9,'RH '!$A$4:$I$27,9,FALSE),0)</f>
        <v>990</v>
      </c>
      <c r="E9" s="236">
        <f>IFERROR(VLOOKUP(A9,Insumos!$A$3:$I$10,9,FALSE),0)</f>
        <v>0</v>
      </c>
    </row>
    <row r="10" spans="1:5" x14ac:dyDescent="0.25">
      <c r="A10" s="42" t="str">
        <f>Planejamento2025[[#This Row],[ID]]</f>
        <v>Tea _T1</v>
      </c>
      <c r="B10" s="233" t="str">
        <f>IFERROR(VLOOKUP(A10,Planejamento2025[[#Data],[#Totals]],2,FALSE),0)</f>
        <v>Teatro</v>
      </c>
      <c r="C10" s="236">
        <f>IFERROR(VLOOKUP(A10,Planejamento2025[[#Data],[#Totals]],24,FALSE),0)</f>
        <v>1900</v>
      </c>
      <c r="D10" s="240">
        <f>IFERROR(VLOOKUP(A10,'RH '!$A$4:$I$27,9,FALSE),0)</f>
        <v>1805</v>
      </c>
      <c r="E10" s="236">
        <f>IFERROR(VLOOKUP(A10,Insumos!$A$3:$I$10,9,FALSE),0)</f>
        <v>0</v>
      </c>
    </row>
    <row r="11" spans="1:5" x14ac:dyDescent="0.25">
      <c r="A11" s="42" t="str">
        <f>Planejamento2025[[#This Row],[ID]]</f>
        <v>InfBás_T2</v>
      </c>
      <c r="B11" s="233" t="str">
        <f>IFERROR(VLOOKUP(A11,Planejamento2025[[#Data],[#Totals]],2,FALSE),0)</f>
        <v>Informática Básica</v>
      </c>
      <c r="C11" s="236">
        <f>IFERROR(VLOOKUP(A11,Planejamento2025[[#Data],[#Totals]],24,FALSE),0)</f>
        <v>0</v>
      </c>
      <c r="D11" s="240">
        <f>IFERROR(VLOOKUP(A11,'RH '!$A$4:$I$27,9,FALSE),0)</f>
        <v>0</v>
      </c>
      <c r="E11" s="236">
        <f>IFERROR(VLOOKUP(A11,Insumos!$A$3:$I$10,9,FALSE),0)</f>
        <v>0</v>
      </c>
    </row>
    <row r="12" spans="1:5" x14ac:dyDescent="0.25">
      <c r="A12" s="42" t="str">
        <f>Planejamento2025[[#This Row],[ID]]</f>
        <v>Fut _T1</v>
      </c>
      <c r="B12" s="233" t="str">
        <f>IFERROR(VLOOKUP(A12,Planejamento2025[[#Data],[#Totals]],2,FALSE),0)</f>
        <v>Futsal</v>
      </c>
      <c r="C12" s="236">
        <f>IFERROR(VLOOKUP(A12,Planejamento2025[[#Data],[#Totals]],24,FALSE),0)</f>
        <v>1615</v>
      </c>
      <c r="D12" s="240">
        <f>IFERROR(VLOOKUP(A12,'RH '!$A$4:$I$27,9,FALSE),0)</f>
        <v>1615</v>
      </c>
      <c r="E12" s="236">
        <f>IFERROR(VLOOKUP(A12,Insumos!$A$3:$I$10,9,FALSE),0)</f>
        <v>0</v>
      </c>
    </row>
    <row r="13" spans="1:5" x14ac:dyDescent="0.25">
      <c r="A13" s="42" t="str">
        <f>Planejamento2025[[#This Row],[ID]]</f>
        <v>Fut _T2</v>
      </c>
      <c r="B13" s="233" t="str">
        <f>IFERROR(VLOOKUP(A13,Planejamento2025[[#Data],[#Totals]],2,FALSE),0)</f>
        <v>Futsal</v>
      </c>
      <c r="C13" s="236">
        <f>IFERROR(VLOOKUP(A13,Planejamento2025[[#Data],[#Totals]],24,FALSE),0)</f>
        <v>1615</v>
      </c>
      <c r="D13" s="240">
        <f>IFERROR(VLOOKUP(A13,'RH '!$A$4:$I$27,9,FALSE),0)</f>
        <v>1615</v>
      </c>
      <c r="E13" s="236">
        <f>IFERROR(VLOOKUP(A13,Insumos!$A$3:$I$10,9,FALSE),0)</f>
        <v>0</v>
      </c>
    </row>
    <row r="14" spans="1:5" x14ac:dyDescent="0.25">
      <c r="A14" s="42" t="str">
        <f>Planejamento2025[[#This Row],[ID]]</f>
        <v>Man _T1</v>
      </c>
      <c r="B14" s="233" t="str">
        <f>IFERROR(VLOOKUP(A14,Planejamento2025[[#Data],[#Totals]],2,FALSE),0)</f>
        <v>Manicure</v>
      </c>
      <c r="C14" s="236">
        <f>IFERROR(VLOOKUP(A14,Planejamento2025[[#Data],[#Totals]],24,FALSE),0)</f>
        <v>1425</v>
      </c>
      <c r="D14" s="240">
        <f>IFERROR(VLOOKUP(A14,'RH '!$A$4:$I$27,9,FALSE),0)</f>
        <v>1520</v>
      </c>
      <c r="E14" s="236">
        <f>IFERROR(VLOOKUP(A14,Insumos!$A$3:$I$10,9,FALSE),0)</f>
        <v>0</v>
      </c>
    </row>
    <row r="15" spans="1:5" x14ac:dyDescent="0.25">
      <c r="A15" s="42" t="str">
        <f>Planejamento2025[[#This Row],[ID]]</f>
        <v>Lid _T1</v>
      </c>
      <c r="B15" s="233" t="str">
        <f>IFERROR(VLOOKUP(A15,Planejamento2025[[#Data],[#Totals]],2,FALSE),0)</f>
        <v>Liderança</v>
      </c>
      <c r="C15" s="236" t="str">
        <f>IFERROR(VLOOKUP(A15,Planejamento2025[[#Data],[#Totals]],24,FALSE),0)</f>
        <v>R$ 0,00</v>
      </c>
      <c r="D15" s="240">
        <f>IFERROR(VLOOKUP(A15,'RH '!$A$4:$I$27,9,FALSE),0)</f>
        <v>0</v>
      </c>
      <c r="E15" s="236">
        <f>IFERROR(VLOOKUP(A15,Insumos!$A$3:$I$10,9,FALSE),0)</f>
        <v>0</v>
      </c>
    </row>
    <row r="16" spans="1:5" x14ac:dyDescent="0.25">
      <c r="A16" s="42" t="str">
        <f>Planejamento2025[[#This Row],[ID]]</f>
        <v>EleIns_T1</v>
      </c>
      <c r="B16" s="233" t="str">
        <f>IFERROR(VLOOKUP(A16,Planejamento2025[[#Data],[#Totals]],2,FALSE),0)</f>
        <v>Eletricista Instalador</v>
      </c>
      <c r="C16" s="236" t="str">
        <f>IFERROR(VLOOKUP(A16,Planejamento2025[[#Data],[#Totals]],24,FALSE),0)</f>
        <v>R$ 0,00</v>
      </c>
      <c r="D16" s="240">
        <f>IFERROR(VLOOKUP(A16,'RH '!$A$4:$I$27,9,FALSE),0)</f>
        <v>0</v>
      </c>
      <c r="E16" s="236">
        <f>IFERROR(VLOOKUP(A16,Insumos!$A$3:$I$10,9,FALSE),0)</f>
        <v>0</v>
      </c>
    </row>
    <row r="17" spans="1:7" x14ac:dyDescent="0.25">
      <c r="A17" s="42" t="str">
        <f>Planejamento2025[[#This Row],[ID]]</f>
        <v>Op_Micro_T1</v>
      </c>
      <c r="B17" s="233" t="str">
        <f>IFERROR(VLOOKUP(A17,Planejamento2025[[#Data],[#Totals]],2,FALSE),0)</f>
        <v>Operador de Micro</v>
      </c>
      <c r="C17" s="236" t="str">
        <f>IFERROR(VLOOKUP(A17,Planejamento2025[[#Data],[#Totals]],24,FALSE),0)</f>
        <v>R$ 0,00</v>
      </c>
      <c r="D17" s="240">
        <f>IFERROR(VLOOKUP(A17,'RH '!$A$4:$I$27,9,FALSE),0)</f>
        <v>0</v>
      </c>
      <c r="E17" s="236">
        <f>IFERROR(VLOOKUP(A17,Insumos!$A$3:$I$10,9,FALSE),0)</f>
        <v>0</v>
      </c>
    </row>
    <row r="18" spans="1:7" x14ac:dyDescent="0.25">
      <c r="A18" s="42" t="str">
        <f>Planejamento2025[[#This Row],[ID]]</f>
        <v>Cup_Bolo_T1</v>
      </c>
      <c r="B18" s="233" t="str">
        <f>IFERROR(VLOOKUP(A18,Planejamento2025[[#Data],[#Totals]],2,FALSE),0)</f>
        <v>Aprenda a Fabricar e Vender Cupcakes e Bolos Caseiros</v>
      </c>
      <c r="C18" s="236" t="str">
        <f>IFERROR(VLOOKUP(A18,Planejamento2025[[#Data],[#Totals]],24,FALSE),0)</f>
        <v>R$ 0,00</v>
      </c>
      <c r="D18" s="240">
        <f>IFERROR(VLOOKUP(A18,'RH '!$A$4:$I$27,9,FALSE),0)</f>
        <v>0</v>
      </c>
      <c r="E18" s="236">
        <f>IFERROR(VLOOKUP(A18,Insumos!$A$3:$I$10,9,FALSE),0)</f>
        <v>0</v>
      </c>
    </row>
    <row r="19" spans="1:7" x14ac:dyDescent="0.25">
      <c r="A19" s="42" t="str">
        <f>Planejamento2025[[#This Row],[ID]]</f>
        <v>PãeEsp_T1</v>
      </c>
      <c r="B19" s="233" t="str">
        <f>IFERROR(VLOOKUP(A19,Planejamento2025[[#Data],[#Totals]],2,FALSE),0)</f>
        <v>Pães Especiais</v>
      </c>
      <c r="C19" s="236">
        <f>IFERROR(VLOOKUP(A19,Planejamento2025[[#Data],[#Totals]],24,FALSE),0)</f>
        <v>855</v>
      </c>
      <c r="D19" s="240">
        <f>IFERROR(VLOOKUP(A19,'RH '!$A$4:$I$27,9,FALSE),0)</f>
        <v>855</v>
      </c>
      <c r="E19" s="236">
        <f>IFERROR(VLOOKUP(A19,Insumos!$A$3:$I$10,9,FALSE),0)</f>
        <v>515.84</v>
      </c>
    </row>
    <row r="20" spans="1:7" x14ac:dyDescent="0.25">
      <c r="A20" s="42" t="str">
        <f>Planejamento2025[[#This Row],[ID]]</f>
        <v>PacOff_T2</v>
      </c>
      <c r="B20" s="233" t="str">
        <f>IFERROR(VLOOKUP(A20,Planejamento2025[[#Data],[#Totals]],2,FALSE),0)</f>
        <v>Pacote Office</v>
      </c>
      <c r="C20" s="236">
        <f>IFERROR(VLOOKUP(A20,Planejamento2025[[#Data],[#Totals]],24,FALSE),0)</f>
        <v>4560</v>
      </c>
      <c r="D20" s="240">
        <f>IFERROR(VLOOKUP(A20,'RH '!$A$4:$I$27,9,FALSE),0)</f>
        <v>4560</v>
      </c>
      <c r="E20" s="236">
        <f>IFERROR(VLOOKUP(A20,Insumos!$A$3:$I$10,9,FALSE),0)</f>
        <v>0</v>
      </c>
    </row>
    <row r="21" spans="1:7" x14ac:dyDescent="0.25">
      <c r="A21" s="42" t="str">
        <f>Planejamento2025[[#This Row],[ID]]</f>
        <v>Ban _T1</v>
      </c>
      <c r="B21" s="233" t="str">
        <f>IFERROR(VLOOKUP(A21,Planejamento2025[[#Data],[#Totals]],2,FALSE),0)</f>
        <v>Banda</v>
      </c>
      <c r="C21" s="236">
        <f>IFERROR(VLOOKUP(A21,Planejamento2025[[#Data],[#Totals]],24,FALSE),0)</f>
        <v>12896.25</v>
      </c>
      <c r="D21" s="240">
        <f>IFERROR(VLOOKUP(A21,'RH '!$A$4:$I$27,9,FALSE),0)</f>
        <v>7037.92</v>
      </c>
      <c r="E21" s="236">
        <f>IFERROR(VLOOKUP(A21,Insumos!$A$3:$I$10,9,FALSE),0)</f>
        <v>0</v>
      </c>
    </row>
    <row r="22" spans="1:7" x14ac:dyDescent="0.25">
      <c r="A22" s="42" t="str">
        <f>Planejamento2025[[#This Row],[ID]]</f>
        <v>Ajust_Ref_T1</v>
      </c>
      <c r="B22" s="233" t="str">
        <f>IFERROR(VLOOKUP(A22,Planejamento2025[[#Data],[#Totals]],2,FALSE),0)</f>
        <v>Aprenda a Ajustar e Reformar Roupas</v>
      </c>
      <c r="C22" s="236" t="str">
        <f>IFERROR(VLOOKUP(A22,Planejamento2025[[#Data],[#Totals]],24,FALSE),0)</f>
        <v>R$ 0,00</v>
      </c>
      <c r="D22" s="240">
        <f>IFERROR(VLOOKUP(A22,'RH '!$A$4:$I$27,9,FALSE),0)</f>
        <v>0</v>
      </c>
      <c r="E22" s="236">
        <f>IFERROR(VLOOKUP(A22,Insumos!$A$3:$I$10,9,FALSE),0)</f>
        <v>0</v>
      </c>
      <c r="G22" s="296"/>
    </row>
    <row r="23" spans="1:7" x14ac:dyDescent="0.25">
      <c r="A23" s="42" t="str">
        <f>Planejamento2025[[#This Row],[ID]]</f>
        <v>Ing _T2</v>
      </c>
      <c r="B23" s="233" t="str">
        <f>IFERROR(VLOOKUP(A23,Planejamento2025[[#Data],[#Totals]],2,FALSE),0)</f>
        <v>Inglês</v>
      </c>
      <c r="C23" s="236">
        <f>IFERROR(VLOOKUP(A23,Planejamento2025[[#Data],[#Totals]],24,FALSE),0)</f>
        <v>1757.5</v>
      </c>
      <c r="D23" s="240">
        <f>IFERROR(VLOOKUP(A23,'RH '!$A$4:$I$27,9,FALSE),0)</f>
        <v>1852.5</v>
      </c>
      <c r="E23" s="236">
        <f>IFERROR(VLOOKUP(A23,Insumos!$A$3:$I$10,9,FALSE),0)</f>
        <v>0</v>
      </c>
    </row>
    <row r="24" spans="1:7" x14ac:dyDescent="0.25">
      <c r="A24" s="42" t="str">
        <f>Planejamento2025[[#This Row],[ID]]</f>
        <v>Cost_Maq_T1</v>
      </c>
      <c r="B24" s="233" t="str">
        <f>IFERROR(VLOOKUP(A24,Planejamento2025[[#Data],[#Totals]],2,FALSE),0)</f>
        <v>Costureiro de Máquina Reta e Overloque</v>
      </c>
      <c r="C24" s="236" t="str">
        <f>IFERROR(VLOOKUP(A24,Planejamento2025[[#Data],[#Totals]],24,FALSE),0)</f>
        <v>R$ 0,00</v>
      </c>
      <c r="D24" s="240">
        <f>IFERROR(VLOOKUP(A24,'RH '!$A$4:$I$27,9,FALSE),0)</f>
        <v>0</v>
      </c>
      <c r="E24" s="236">
        <f>IFERROR(VLOOKUP(A24,Insumos!$A$3:$I$10,9,FALSE),0)</f>
        <v>0</v>
      </c>
    </row>
    <row r="25" spans="1:7" x14ac:dyDescent="0.25">
      <c r="A25" s="42" t="str">
        <f>Planejamento2025[[#This Row],[ID]]</f>
        <v>Cost_Maq_T2</v>
      </c>
      <c r="B25" s="233" t="str">
        <f>IFERROR(VLOOKUP(A25,Planejamento2025[[#Data],[#Totals]],2,FALSE),0)</f>
        <v>Costureiro de Máquina Reta e Overloque</v>
      </c>
      <c r="C25" s="236" t="str">
        <f>IFERROR(VLOOKUP(A25,Planejamento2025[[#Data],[#Totals]],24,FALSE),0)</f>
        <v>R$ 0,00</v>
      </c>
      <c r="D25" s="240">
        <f>IFERROR(VLOOKUP(A25,'RH '!$A$4:$I$27,9,FALSE),0)</f>
        <v>0</v>
      </c>
      <c r="E25" s="236">
        <f>IFERROR(VLOOKUP(A25,Insumos!$A$3:$I$10,9,FALSE),0)</f>
        <v>0</v>
      </c>
    </row>
    <row r="26" spans="1:7" x14ac:dyDescent="0.25">
      <c r="A26" s="42" t="str">
        <f>Planejamento2025[[#This Row],[ID]]</f>
        <v>MasFol_T1</v>
      </c>
      <c r="B26" s="233" t="str">
        <f>IFERROR(VLOOKUP(A26,Planejamento2025[[#Data],[#Totals]],2,FALSE),0)</f>
        <v>Massas Folhadas</v>
      </c>
      <c r="C26" s="236">
        <f>IFERROR(VLOOKUP(A26,Planejamento2025[[#Data],[#Totals]],24,FALSE),0)</f>
        <v>712.5</v>
      </c>
      <c r="D26" s="240">
        <f>IFERROR(VLOOKUP(A26,'RH '!$A$4:$I$27,9,FALSE),0)</f>
        <v>712.5</v>
      </c>
      <c r="E26" s="236">
        <f>IFERROR(VLOOKUP(A26,Insumos!$A$3:$I$10,9,FALSE),0)</f>
        <v>767.87</v>
      </c>
    </row>
    <row r="27" spans="1:7" x14ac:dyDescent="0.25">
      <c r="A27" s="42" t="str">
        <f>Planejamento2025[[#This Row],[ID]]</f>
        <v>ExcBás_T1</v>
      </c>
      <c r="B27" s="233" t="str">
        <f>IFERROR(VLOOKUP(A27,Planejamento2025[[#Data],[#Totals]],2,FALSE),0)</f>
        <v>Excel Básico</v>
      </c>
      <c r="C27" s="236" t="str">
        <f>IFERROR(VLOOKUP(A27,Planejamento2025[[#Data],[#Totals]],24,FALSE),0)</f>
        <v>R$ 0,00</v>
      </c>
      <c r="D27" s="240">
        <f>IFERROR(VLOOKUP(A27,'RH '!$A$4:$I$27,9,FALSE),0)</f>
        <v>0</v>
      </c>
      <c r="E27" s="236">
        <f>IFERROR(VLOOKUP(A27,Insumos!$A$3:$I$10,9,FALSE),0)</f>
        <v>0</v>
      </c>
    </row>
    <row r="28" spans="1:7" x14ac:dyDescent="0.25">
      <c r="A28" s="42" t="str">
        <f>Planejamento2025[[#This Row],[ID]]</f>
        <v>PlaCon_T1</v>
      </c>
      <c r="B28" s="233" t="str">
        <f>IFERROR(VLOOKUP(A28,Planejamento2025[[#Data],[#Totals]],2,FALSE),0)</f>
        <v>Planejamento Controle de Produção</v>
      </c>
      <c r="C28" s="236" t="str">
        <f>IFERROR(VLOOKUP(A28,Planejamento2025[[#Data],[#Totals]],24,FALSE),0)</f>
        <v>R$ 0,00</v>
      </c>
      <c r="D28" s="240">
        <f>IFERROR(VLOOKUP(A28,'RH '!$A$4:$I$27,9,FALSE),0)</f>
        <v>0</v>
      </c>
      <c r="E28" s="236">
        <f>IFERROR(VLOOKUP(A28,Insumos!$A$3:$I$10,9,FALSE),0)</f>
        <v>0</v>
      </c>
    </row>
    <row r="29" spans="1:7" x14ac:dyDescent="0.25">
      <c r="A29" s="42" t="str">
        <f>Planejamento2025[[#This Row],[ID]]</f>
        <v>Caf _T1</v>
      </c>
      <c r="B29" s="233" t="str">
        <f>IFERROR(VLOOKUP(A29,Planejamento2025[[#Data],[#Totals]],2,FALSE),0)</f>
        <v>Cafeteria</v>
      </c>
      <c r="C29" s="236">
        <f>IFERROR(VLOOKUP(A29,Planejamento2025[[#Data],[#Totals]],24,FALSE),0)</f>
        <v>712.5</v>
      </c>
      <c r="D29" s="240">
        <f>IFERROR(VLOOKUP(A29,'RH '!$A$4:$I$27,9,FALSE),0)</f>
        <v>712.5</v>
      </c>
      <c r="E29" s="236">
        <f>IFERROR(VLOOKUP(A29,Insumos!$A$3:$I$10,9,FALSE),0)</f>
        <v>247.09</v>
      </c>
    </row>
    <row r="30" spans="1:7" x14ac:dyDescent="0.25">
      <c r="A30" s="42" t="str">
        <f>Planejamento2025[[#This Row],[ID]]</f>
        <v>PacOff_T3</v>
      </c>
      <c r="B30" s="233" t="str">
        <f>IFERROR(VLOOKUP(A30,Planejamento2025[[#Data],[#Totals]],2,FALSE),0)</f>
        <v>Pacote Office</v>
      </c>
      <c r="C30" s="236" t="str">
        <f>IFERROR(VLOOKUP(A30,Planejamento2025[[#Data],[#Totals]],24,FALSE),0)</f>
        <v>R$ 0,00</v>
      </c>
      <c r="D30" s="240">
        <f>IFERROR(VLOOKUP(A30,'RH '!$A$4:$I$27,9,FALSE),0)</f>
        <v>0</v>
      </c>
      <c r="E30" s="236">
        <f>IFERROR(VLOOKUP(A30,Insumos!$A$3:$I$10,9,FALSE),0)</f>
        <v>0</v>
      </c>
    </row>
    <row r="31" spans="1:7" x14ac:dyDescent="0.25">
      <c r="A31" s="42" t="str">
        <f>Planejamento2025[[#This Row],[ID]]</f>
        <v>AuxAdm_T2</v>
      </c>
      <c r="B31" s="233" t="str">
        <f>IFERROR(VLOOKUP(A31,Planejamento2025[[#Data],[#Totals]],2,FALSE),0)</f>
        <v>Auxiliar Administrativo</v>
      </c>
      <c r="C31" s="236" t="str">
        <f>IFERROR(VLOOKUP(A31,Planejamento2025[[#Data],[#Totals]],24,FALSE),0)</f>
        <v>R$ 0,00</v>
      </c>
      <c r="D31" s="240">
        <f>IFERROR(VLOOKUP(A31,'RH '!$A$4:$I$27,9,FALSE),0)</f>
        <v>0</v>
      </c>
      <c r="E31" s="236">
        <f>IFERROR(VLOOKUP(A31,Insumos!$A$3:$I$10,9,FALSE),0)</f>
        <v>0</v>
      </c>
    </row>
    <row r="32" spans="1:7" x14ac:dyDescent="0.25">
      <c r="A32" s="42" t="str">
        <f>Planejamento2025[[#This Row],[ID]]</f>
        <v>EscLid_T1</v>
      </c>
      <c r="B32" s="233" t="str">
        <f>IFERROR(VLOOKUP(A32,Planejamento2025[[#Data],[#Totals]],2,FALSE),0)</f>
        <v>Escola de Líderes</v>
      </c>
      <c r="C32" s="236" t="str">
        <f>IFERROR(VLOOKUP(A32,Planejamento2025[[#Data],[#Totals]],24,FALSE),0)</f>
        <v>R$ 0,00</v>
      </c>
      <c r="D32" s="240">
        <f>IFERROR(VLOOKUP(A32,'RH '!$A$4:$I$27,9,FALSE),0)</f>
        <v>0</v>
      </c>
      <c r="E32" s="236">
        <f>IFERROR(VLOOKUP(A32,Insumos!$A$3:$I$10,9,FALSE),0)</f>
        <v>0</v>
      </c>
    </row>
    <row r="33" spans="1:5" x14ac:dyDescent="0.25">
      <c r="A33" s="42" t="str">
        <f>Planejamento2025[[#This Row],[ID]]</f>
        <v>Por _T1</v>
      </c>
      <c r="B33" s="233" t="str">
        <f>IFERROR(VLOOKUP(A33,Planejamento2025[[#Data],[#Totals]],2,FALSE),0)</f>
        <v>Porteiro</v>
      </c>
      <c r="C33" s="236">
        <f>IFERROR(VLOOKUP(A33,Planejamento2025[[#Data],[#Totals]],24,FALSE),0)</f>
        <v>1425</v>
      </c>
      <c r="D33" s="240">
        <f>IFERROR(VLOOKUP(A33,'RH '!$A$4:$I$27,9,FALSE),0)</f>
        <v>1425</v>
      </c>
      <c r="E33" s="236">
        <f>IFERROR(VLOOKUP(A33,Insumos!$A$3:$I$10,9,FALSE),0)</f>
        <v>0</v>
      </c>
    </row>
    <row r="34" spans="1:5" x14ac:dyDescent="0.25">
      <c r="A34" s="42" t="str">
        <f>Planejamento2025[[#This Row],[ID]]</f>
        <v>MicPow_T1</v>
      </c>
      <c r="B34" s="233" t="str">
        <f>IFERROR(VLOOKUP(A34,Planejamento2025[[#Data],[#Totals]],2,FALSE),0)</f>
        <v>Microsoft Power BI</v>
      </c>
      <c r="C34" s="236">
        <f>IFERROR(VLOOKUP(A34,Planejamento2025[[#Data],[#Totals]],24,FALSE),0)</f>
        <v>1520</v>
      </c>
      <c r="D34" s="240">
        <f>IFERROR(VLOOKUP(A34,'RH '!$A$4:$I$27,9,FALSE),0)</f>
        <v>1282.5</v>
      </c>
      <c r="E34" s="236">
        <f>IFERROR(VLOOKUP(A34,Insumos!$A$3:$I$10,9,FALSE),0)</f>
        <v>0</v>
      </c>
    </row>
    <row r="35" spans="1:5" x14ac:dyDescent="0.25">
      <c r="A35" s="42" t="str">
        <f>Planejamento2025[[#This Row],[ID]]</f>
        <v>Lid _T2</v>
      </c>
      <c r="B35" s="233" t="str">
        <f>IFERROR(VLOOKUP(A35,Planejamento2025[[#Data],[#Totals]],2,FALSE),0)</f>
        <v>Liderança</v>
      </c>
      <c r="C35" s="236" t="str">
        <f>IFERROR(VLOOKUP(A35,Planejamento2025[[#Data],[#Totals]],24,FALSE),0)</f>
        <v>R$ 0,00</v>
      </c>
      <c r="D35" s="240">
        <f>IFERROR(VLOOKUP(A35,'RH '!$A$4:$I$27,9,FALSE),0)</f>
        <v>0</v>
      </c>
      <c r="E35" s="236">
        <f>IFERROR(VLOOKUP(A35,Insumos!$A$3:$I$10,9,FALSE),0)</f>
        <v>0</v>
      </c>
    </row>
    <row r="36" spans="1:5" x14ac:dyDescent="0.25">
      <c r="A36" s="42" t="str">
        <f>Planejamento2025[[#This Row],[ID]]</f>
        <v>Piz _T1</v>
      </c>
      <c r="B36" s="233" t="str">
        <f>IFERROR(VLOOKUP(A36,Planejamento2025[[#Data],[#Totals]],2,FALSE),0)</f>
        <v>Pizzas</v>
      </c>
      <c r="C36" s="236">
        <f>IFERROR(VLOOKUP(A36,Planejamento2025[[#Data],[#Totals]],24,FALSE),0)</f>
        <v>712.5</v>
      </c>
      <c r="D36" s="240">
        <f>IFERROR(VLOOKUP(A36,'RH '!$A$4:$I$27,9,FALSE),0)</f>
        <v>712.5</v>
      </c>
      <c r="E36" s="236">
        <f>IFERROR(VLOOKUP(A36,Insumos!$A$3:$I$10,9,FALSE),0)</f>
        <v>540.92000000000007</v>
      </c>
    </row>
    <row r="37" spans="1:5" x14ac:dyDescent="0.25">
      <c r="A37" s="42" t="str">
        <f>Planejamento2025[[#This Row],[ID]]</f>
        <v>DesSob_T1</v>
      </c>
      <c r="B37" s="233" t="str">
        <f>IFERROR(VLOOKUP(A37,Planejamento2025[[#Data],[#Totals]],2,FALSE),0)</f>
        <v>Design Sobrancelha</v>
      </c>
      <c r="C37" s="236">
        <f>IFERROR(VLOOKUP(A37,Planejamento2025[[#Data],[#Totals]],24,FALSE),0)</f>
        <v>950</v>
      </c>
      <c r="D37" s="240">
        <f>IFERROR(VLOOKUP(A37,'RH '!$A$4:$I$27,9,FALSE),0)</f>
        <v>997.5</v>
      </c>
      <c r="E37" s="236">
        <f>IFERROR(VLOOKUP(A37,Insumos!$A$3:$I$10,9,FALSE),0)</f>
        <v>0</v>
      </c>
    </row>
    <row r="38" spans="1:5" x14ac:dyDescent="0.25">
      <c r="A38" s="42" t="str">
        <f>Planejamento2025[[#This Row],[ID]]</f>
        <v>ComElé_T1</v>
      </c>
      <c r="B38" s="233" t="str">
        <f>IFERROR(VLOOKUP(A38,Planejamento2025[[#Data],[#Totals]],2,FALSE),0)</f>
        <v>Comandos Elétricos</v>
      </c>
      <c r="C38" s="236" t="str">
        <f>IFERROR(VLOOKUP(A38,Planejamento2025[[#Data],[#Totals]],24,FALSE),0)</f>
        <v>R$ 0,00</v>
      </c>
      <c r="D38" s="240">
        <f>IFERROR(VLOOKUP(A38,'RH '!$A$4:$I$27,9,FALSE),0)</f>
        <v>0</v>
      </c>
      <c r="E38" s="236">
        <f>IFERROR(VLOOKUP(A38,Insumos!$A$3:$I$10,9,FALSE),0)</f>
        <v>0</v>
      </c>
    </row>
    <row r="39" spans="1:5" x14ac:dyDescent="0.25">
      <c r="A39" s="42" t="str">
        <f>Planejamento2025[[#This Row],[ID]]</f>
        <v>FerQua_T1</v>
      </c>
      <c r="B39" s="233" t="str">
        <f>IFERROR(VLOOKUP(A39,Planejamento2025[[#Data],[#Totals]],2,FALSE),0)</f>
        <v>Ferramentas Qualidade</v>
      </c>
      <c r="C39" s="236" t="str">
        <f>IFERROR(VLOOKUP(A39,Planejamento2025[[#Data],[#Totals]],24,FALSE),0)</f>
        <v>R$ 0,00</v>
      </c>
      <c r="D39" s="240">
        <f>IFERROR(VLOOKUP(A39,'RH '!$A$4:$I$27,9,FALSE),0)</f>
        <v>0</v>
      </c>
      <c r="E39" s="236">
        <f>IFERROR(VLOOKUP(A39,Insumos!$A$3:$I$10,9,FALSE),0)</f>
        <v>0</v>
      </c>
    </row>
    <row r="40" spans="1:5" x14ac:dyDescent="0.25">
      <c r="A40" s="42" t="str">
        <f>Planejamento2025[[#This Row],[ID]]</f>
        <v>MasFre_T1</v>
      </c>
      <c r="B40" s="233" t="str">
        <f>IFERROR(VLOOKUP(A40,Planejamento2025[[#Data],[#Totals]],2,FALSE),0)</f>
        <v>Massas Frescas e Molhos</v>
      </c>
      <c r="C40" s="236">
        <f>IFERROR(VLOOKUP(A40,Planejamento2025[[#Data],[#Totals]],24,FALSE),0)</f>
        <v>712.5</v>
      </c>
      <c r="D40" s="240">
        <f>IFERROR(VLOOKUP(A40,'RH '!$A$4:$I$27,9,FALSE),0)</f>
        <v>712.5</v>
      </c>
      <c r="E40" s="236">
        <f>IFERROR(VLOOKUP(A40,Insumos!$A$3:$I$10,9,FALSE),0)</f>
        <v>0</v>
      </c>
    </row>
    <row r="41" spans="1:5" x14ac:dyDescent="0.25">
      <c r="A41" s="42" t="str">
        <f>Planejamento2025[[#This Row],[ID]]</f>
        <v>Opede _T1</v>
      </c>
      <c r="B41" s="233" t="str">
        <f>IFERROR(VLOOKUP(A41,Planejamento2025[[#Data],[#Totals]],2,FALSE),0)</f>
        <v>Operador de Logistica</v>
      </c>
      <c r="C41" s="236" t="str">
        <f>IFERROR(VLOOKUP(A41,Planejamento2025[[#Data],[#Totals]],24,FALSE),0)</f>
        <v>R$ 0,00</v>
      </c>
      <c r="D41" s="240">
        <f>IFERROR(VLOOKUP(A41,'RH '!$A$4:$I$27,9,FALSE),0)</f>
        <v>0</v>
      </c>
      <c r="E41" s="236">
        <f>IFERROR(VLOOKUP(A41,Insumos!$A$3:$I$10,9,FALSE),0)</f>
        <v>0</v>
      </c>
    </row>
    <row r="42" spans="1:5" x14ac:dyDescent="0.25">
      <c r="A42" s="42" t="str">
        <f>Planejamento2025[[#This Row],[ID]]</f>
        <v>PlaCon_T2</v>
      </c>
      <c r="B42" s="233" t="str">
        <f>IFERROR(VLOOKUP(A42,Planejamento2025[[#Data],[#Totals]],2,FALSE),0)</f>
        <v>Planejamento Controle de Produção</v>
      </c>
      <c r="C42" s="236" t="str">
        <f>IFERROR(VLOOKUP(A42,Planejamento2025[[#Data],[#Totals]],24,FALSE),0)</f>
        <v>R$ 0,00</v>
      </c>
      <c r="D42" s="240">
        <f>IFERROR(VLOOKUP(A42,'RH '!$A$4:$I$27,9,FALSE),0)</f>
        <v>0</v>
      </c>
      <c r="E42" s="236">
        <f>IFERROR(VLOOKUP(A42,Insumos!$A$3:$I$10,9,FALSE),0)</f>
        <v>0</v>
      </c>
    </row>
    <row r="43" spans="1:5" x14ac:dyDescent="0.25">
      <c r="A43" s="42" t="str">
        <f>Planejamento2025[[#This Row],[ID]]</f>
        <v>Ban _T1</v>
      </c>
      <c r="B43" s="233" t="str">
        <f>IFERROR(VLOOKUP(A43,Planejamento2025[[#Data],[#Totals]],2,FALSE),0)</f>
        <v>Banda</v>
      </c>
      <c r="C43" s="236">
        <f>IFERROR(VLOOKUP(A43,Planejamento2025[[#Data],[#Totals]],24,FALSE),0)</f>
        <v>12896.25</v>
      </c>
      <c r="D43" s="240">
        <f>IFERROR(VLOOKUP(A43,'RH '!$A$4:$I$27,9,FALSE),0)</f>
        <v>7037.92</v>
      </c>
      <c r="E43" s="236">
        <f>IFERROR(VLOOKUP(A43,Insumos!$A$3:$I$10,9,FALSE),0)</f>
        <v>0</v>
      </c>
    </row>
    <row r="44" spans="1:5" x14ac:dyDescent="0.25">
      <c r="A44" s="42" t="str">
        <f>Planejamento2025[[#This Row],[ID]]</f>
        <v>ExcAva_T1</v>
      </c>
      <c r="B44" s="233" t="str">
        <f>IFERROR(VLOOKUP(A44,Planejamento2025[[#Data],[#Totals]],2,FALSE),0)</f>
        <v>Excel Avançado</v>
      </c>
      <c r="C44" s="236"/>
      <c r="D44" s="240"/>
      <c r="E44" s="236">
        <f>IFERROR(VLOOKUP(A44,Insumos!$A$3:$I$10,9,FALSE),0)</f>
        <v>0</v>
      </c>
    </row>
    <row r="45" spans="1:5" x14ac:dyDescent="0.25">
      <c r="A45" s="42" t="str">
        <f>Planejamento2025[[#This Row],[ID]]</f>
        <v>InfBás_T3</v>
      </c>
      <c r="B45" s="233" t="str">
        <f>IFERROR(VLOOKUP(A45,Planejamento2025[[#Data],[#Totals]],2,FALSE),0)</f>
        <v>Informática Básica</v>
      </c>
      <c r="C45" s="236">
        <f>IFERROR(VLOOKUP(A45,Planejamento2025[[#Data],[#Totals]],24,FALSE),0)</f>
        <v>2850</v>
      </c>
      <c r="D45" s="240">
        <f>IFERROR(VLOOKUP(A45,'RH '!$A$4:$I$27,9,FALSE),0)</f>
        <v>0</v>
      </c>
      <c r="E45" s="236">
        <f>IFERROR(VLOOKUP(A45,Insumos!$A$3:$I$10,9,FALSE),0)</f>
        <v>0</v>
      </c>
    </row>
    <row r="46" spans="1:5" x14ac:dyDescent="0.25">
      <c r="A46" s="42" t="str">
        <f>Planejamento2025[[#This Row],[ID]]</f>
        <v>Fut _T1</v>
      </c>
      <c r="B46" s="233" t="str">
        <f>IFERROR(VLOOKUP(A46,Planejamento2025[[#Data],[#Totals]],2,FALSE),0)</f>
        <v>Futsal</v>
      </c>
      <c r="C46" s="236">
        <f>IFERROR(VLOOKUP(A46,Planejamento2025[[#Data],[#Totals]],24,FALSE),0)</f>
        <v>1615</v>
      </c>
      <c r="D46" s="240">
        <f>IFERROR(VLOOKUP(A46,'RH '!$A$4:$I$27,9,FALSE),0)</f>
        <v>1615</v>
      </c>
      <c r="E46" s="236">
        <f>IFERROR(VLOOKUP(A46,Insumos!$A$3:$I$10,9,FALSE),0)</f>
        <v>0</v>
      </c>
    </row>
    <row r="47" spans="1:5" x14ac:dyDescent="0.25">
      <c r="A47" s="42" t="str">
        <f>Planejamento2025[[#This Row],[ID]]</f>
        <v>Fut _T2</v>
      </c>
      <c r="B47" s="233" t="str">
        <f>IFERROR(VLOOKUP(A47,Planejamento2025[[#Data],[#Totals]],2,FALSE),0)</f>
        <v>Futsal</v>
      </c>
      <c r="C47" s="236"/>
      <c r="D47" s="240"/>
      <c r="E47" s="236">
        <f>IFERROR(VLOOKUP(A47,Insumos!$A$3:$I$10,9,FALSE),0)</f>
        <v>0</v>
      </c>
    </row>
    <row r="48" spans="1:5" x14ac:dyDescent="0.25">
      <c r="A48" s="42" t="str">
        <f>Planejamento2025[[#This Row],[ID]]</f>
        <v>PinPre_T1</v>
      </c>
      <c r="B48" s="233" t="str">
        <f>IFERROR(VLOOKUP(A48,Planejamento2025[[#Data],[#Totals]],2,FALSE),0)</f>
        <v>Técnicas para Pintura Predial</v>
      </c>
      <c r="C48" s="236"/>
      <c r="D48" s="240"/>
      <c r="E48" s="236">
        <f>IFERROR(VLOOKUP(A48,Insumos!$A$3:$I$10,9,FALSE),0)</f>
        <v>0</v>
      </c>
    </row>
    <row r="49" spans="1:5" x14ac:dyDescent="0.25">
      <c r="A49" s="42" t="str">
        <f>Planejamento2025[[#This Row],[ID]]</f>
        <v>CosPlanMa_T1</v>
      </c>
      <c r="B49" s="233" t="str">
        <f>IFERROR(VLOOKUP(A49,Planejamento2025[[#Data],[#Totals]],2,FALSE),0)</f>
        <v>Tecnicas de Costura para Tecido Plano e Malha</v>
      </c>
      <c r="C49" s="236" t="str">
        <f>IFERROR(VLOOKUP(A49,Planejamento2025[[#Data],[#Totals]],24,FALSE),0)</f>
        <v>R$ 0,00</v>
      </c>
      <c r="D49" s="240">
        <f>IFERROR(VLOOKUP(A49,'RH '!$A$4:$I$27,9,FALSE),0)</f>
        <v>0</v>
      </c>
      <c r="E49" s="236">
        <f>IFERROR(VLOOKUP(A49,Insumos!$A$3:$I$10,9,FALSE),0)</f>
        <v>0</v>
      </c>
    </row>
    <row r="50" spans="1:5" x14ac:dyDescent="0.25">
      <c r="A50" s="42" t="str">
        <f>Planejamento2025[[#This Row],[ID]]</f>
        <v>LeiInt_T1</v>
      </c>
      <c r="B50" s="233" t="str">
        <f>IFERROR(VLOOKUP(A50,Planejamento2025[[#Data],[#Totals]],2,FALSE),0)</f>
        <v>Leitura Interpretação de Desenho Técnico Mecânico</v>
      </c>
      <c r="C50" s="236" t="str">
        <f>IFERROR(VLOOKUP(A50,Planejamento2025[[#Data],[#Totals]],24,FALSE),0)</f>
        <v>R$ 0,00</v>
      </c>
      <c r="D50" s="240">
        <f>IFERROR(VLOOKUP(A50,'RH '!$A$4:$I$27,9,FALSE),0)</f>
        <v>0</v>
      </c>
      <c r="E50" s="236">
        <f>IFERROR(VLOOKUP(A50,Insumos!$A$3:$I$10,9,FALSE),0)</f>
        <v>0</v>
      </c>
    </row>
    <row r="51" spans="1:5" x14ac:dyDescent="0.25">
      <c r="A51" s="42" t="str">
        <f>Planejamento2025[[#This Row],[ID]]</f>
        <v>ConsRef_T1</v>
      </c>
      <c r="B51" s="233" t="str">
        <f>IFERROR(VLOOKUP(A51,Planejamento2025[[#Data],[#Totals]],2,FALSE),0)</f>
        <v>Costureiro de Conserto e Reforma de Roupas</v>
      </c>
      <c r="C51" s="236" t="str">
        <f>IFERROR(VLOOKUP(A51,Planejamento2025[[#Data],[#Totals]],24,FALSE),0)</f>
        <v>R$ 0,00</v>
      </c>
      <c r="D51" s="240">
        <f>IFERROR(VLOOKUP(A51,'RH '!$A$4:$I$27,9,FALSE),0)</f>
        <v>0</v>
      </c>
      <c r="E51" s="236">
        <f>IFERROR(VLOOKUP(A51,Insumos!$A$3:$I$10,9,FALSE),0)</f>
        <v>0</v>
      </c>
    </row>
    <row r="52" spans="1:5" x14ac:dyDescent="0.25">
      <c r="A52" s="42" t="str">
        <f>Planejamento2025[[#This Row],[ID]]</f>
        <v>PacOff_T4</v>
      </c>
      <c r="B52" s="233" t="str">
        <f>IFERROR(VLOOKUP(A52,Planejamento2025[[#Data],[#Totals]],2,FALSE),0)</f>
        <v>Pacote Office</v>
      </c>
      <c r="C52" s="236">
        <f>IFERROR(VLOOKUP(A52,Planejamento2025[[#Data],[#Totals]],24,FALSE),0)</f>
        <v>4560</v>
      </c>
      <c r="D52" s="240">
        <f>IFERROR(VLOOKUP(A52,'RH '!$A$4:$I$27,9,FALSE),0)</f>
        <v>0</v>
      </c>
      <c r="E52" s="236">
        <f>IFERROR(VLOOKUP(A52,Insumos!$A$3:$I$10,9,FALSE),0)</f>
        <v>0</v>
      </c>
    </row>
    <row r="53" spans="1:5" x14ac:dyDescent="0.25">
      <c r="A53" s="42" t="str">
        <f>Planejamento2025[[#This Row],[ID]]</f>
        <v>DesCap_T1</v>
      </c>
      <c r="B53" s="233" t="str">
        <f>IFERROR(VLOOKUP(A53,Planejamento2025[[#Data],[#Totals]],2,FALSE),0)</f>
        <v>Desenvolvimento Capacidades Socioemocionais</v>
      </c>
      <c r="C53" s="236">
        <f>IFERROR(VLOOKUP(A53,Planejamento2025[[#Data],[#Totals]],24,FALSE),0)</f>
        <v>3800</v>
      </c>
      <c r="D53" s="240">
        <f>IFERROR(VLOOKUP(A53,'RH '!$A$4:$I$27,9,FALSE),0)</f>
        <v>0</v>
      </c>
      <c r="E53" s="236">
        <f>IFERROR(VLOOKUP(A53,Insumos!$A$3:$I$10,9,FALSE),0)</f>
        <v>0</v>
      </c>
    </row>
    <row r="54" spans="1:5" x14ac:dyDescent="0.25">
      <c r="A54" s="42" t="str">
        <f>Planejamento2025[[#This Row],[ID]]</f>
        <v>Maq _T1</v>
      </c>
      <c r="B54" s="233" t="str">
        <f>IFERROR(VLOOKUP(A54,Planejamento2025[[#Data],[#Totals]],2,FALSE),0)</f>
        <v>Maquiagem</v>
      </c>
      <c r="C54" s="236">
        <f>IFERROR(VLOOKUP(A54,Planejamento2025[[#Data],[#Totals]],24,FALSE),0)</f>
        <v>1900</v>
      </c>
      <c r="D54" s="240">
        <f>IFERROR(VLOOKUP(A54,'RH '!$A$4:$I$27,9,FALSE),0)</f>
        <v>0</v>
      </c>
      <c r="E54" s="236">
        <f>IFERROR(VLOOKUP(A54,Insumos!$A$3:$I$10,9,FALSE),0)</f>
        <v>0</v>
      </c>
    </row>
    <row r="55" spans="1:5" x14ac:dyDescent="0.25">
      <c r="A55" s="42" t="str">
        <f>Planejamento2025[[#This Row],[ID]]</f>
        <v>Bolno _T1</v>
      </c>
      <c r="B55" s="233" t="str">
        <f>IFERROR(VLOOKUP(A55,Planejamento2025[[#Data],[#Totals]],2,FALSE),0)</f>
        <v>Bolo no Pote</v>
      </c>
      <c r="C55" s="236">
        <f>IFERROR(VLOOKUP(A55,Planejamento2025[[#Data],[#Totals]],24,FALSE),0)</f>
        <v>855</v>
      </c>
      <c r="D55" s="240">
        <f>IFERROR(VLOOKUP(A55,'RH '!$A$4:$I$27,9,FALSE),0)</f>
        <v>0</v>
      </c>
      <c r="E55" s="236">
        <f>IFERROR(VLOOKUP(A55,Insumos!$A$3:$I$10,9,FALSE),0)</f>
        <v>0</v>
      </c>
    </row>
    <row r="56" spans="1:5" x14ac:dyDescent="0.25">
      <c r="A56" s="42" t="str">
        <f>Planejamento2025[[#This Row],[ID]]</f>
        <v>ComElé_T2</v>
      </c>
      <c r="B56" s="233" t="str">
        <f>IFERROR(VLOOKUP(A56,Planejamento2025[[#Data],[#Totals]],2,FALSE),0)</f>
        <v>Comandos Elétricos</v>
      </c>
      <c r="C56" s="236" t="str">
        <f>IFERROR(VLOOKUP(A56,Planejamento2025[[#Data],[#Totals]],24,FALSE),0)</f>
        <v>R$ 0,00</v>
      </c>
      <c r="D56" s="240">
        <f>IFERROR(VLOOKUP(A56,'RH '!$A$4:$I$27,9,FALSE),0)</f>
        <v>0</v>
      </c>
      <c r="E56" s="236">
        <f>IFERROR(VLOOKUP(A56,Insumos!$A$3:$I$10,9,FALSE),0)</f>
        <v>0</v>
      </c>
    </row>
    <row r="57" spans="1:5" x14ac:dyDescent="0.25">
      <c r="A57" s="42" t="str">
        <f>Planejamento2025[[#This Row],[ID]]</f>
        <v>InfBás_T4</v>
      </c>
      <c r="B57" s="233" t="str">
        <f>IFERROR(VLOOKUP(A57,Planejamento2025[[#Data],[#Totals]],2,FALSE),0)</f>
        <v>Informática Básica</v>
      </c>
      <c r="C57" s="236">
        <f>IFERROR(VLOOKUP(A57,Planejamento2025[[#Data],[#Totals]],24,FALSE),0)</f>
        <v>2850</v>
      </c>
      <c r="D57" s="240">
        <f>IFERROR(VLOOKUP(A57,'RH '!$A$4:$I$27,9,FALSE),0)</f>
        <v>0</v>
      </c>
      <c r="E57" s="236">
        <f>IFERROR(VLOOKUP(A57,Insumos!$A$3:$I$10,9,FALSE),0)</f>
        <v>0</v>
      </c>
    </row>
    <row r="58" spans="1:5" x14ac:dyDescent="0.25">
      <c r="A58" s="42" t="str">
        <f>Planejamento2025[[#This Row],[ID]]</f>
        <v>Excno _T1</v>
      </c>
      <c r="B58" s="233" t="str">
        <f>IFERROR(VLOOKUP(A58,Planejamento2025[[#Data],[#Totals]],2,FALSE),0)</f>
        <v>Excelência no Atendimento</v>
      </c>
      <c r="C58" s="236">
        <f>IFERROR(VLOOKUP(A58,Planejamento2025[[#Data],[#Totals]],24,FALSE),0)</f>
        <v>950</v>
      </c>
      <c r="D58" s="240">
        <f>IFERROR(VLOOKUP(A58,'RH '!$A$4:$I$27,9,FALSE),0)</f>
        <v>0</v>
      </c>
      <c r="E58" s="236">
        <f>IFERROR(VLOOKUP(A58,Insumos!$A$3:$I$10,9,FALSE),0)</f>
        <v>0</v>
      </c>
    </row>
    <row r="59" spans="1:5" x14ac:dyDescent="0.25">
      <c r="A59" s="42" t="str">
        <f>Planejamento2025[[#This Row],[ID]]</f>
        <v>RotAdm_T1</v>
      </c>
      <c r="B59" s="233" t="str">
        <f>IFERROR(VLOOKUP(A59,Planejamento2025[[#Data],[#Totals]],2,FALSE),0)</f>
        <v>Rotinas Administrativas</v>
      </c>
      <c r="C59" s="290">
        <f>IFERROR(VLOOKUP(A59,Planejamento2025[[#Data],[#Totals]],24,FALSE),0)</f>
        <v>4750</v>
      </c>
      <c r="D59" s="291">
        <f>IFERROR(VLOOKUP(A59,'RH '!$A$4:$I$27,9,FALSE),0)</f>
        <v>0</v>
      </c>
      <c r="E59" s="290">
        <f>IFERROR(VLOOKUP(A59,Insumos!$A$3:$I$10,9,FALSE),0)</f>
        <v>0</v>
      </c>
    </row>
    <row r="60" spans="1:5" x14ac:dyDescent="0.25">
      <c r="A60" s="42" t="str">
        <f>Planejamento2025[[#This Row],[ID]]</f>
        <v>Gin _T1</v>
      </c>
      <c r="B60" s="233" t="str">
        <f>IFERROR(VLOOKUP(A60,Planejamento2025[[#Data],[#Totals]],2,FALSE),0)</f>
        <v>Ginastica</v>
      </c>
      <c r="C60" s="236"/>
      <c r="D60" s="240"/>
      <c r="E60" s="236">
        <f>IFERROR(VLOOKUP(A60,Insumos!$A$3:$I$10,9,FALSE),0)</f>
        <v>0</v>
      </c>
    </row>
    <row r="61" spans="1:5" x14ac:dyDescent="0.25">
      <c r="A61" s="42" t="str">
        <f>Planejamento2025[[#This Row],[ID]]</f>
        <v>Tea _T1</v>
      </c>
      <c r="B61" s="233" t="str">
        <f>IFERROR(VLOOKUP(A61,Planejamento2025[[#Data],[#Totals]],2,FALSE),0)</f>
        <v>Teatro</v>
      </c>
      <c r="C61" s="236"/>
      <c r="D61" s="240"/>
      <c r="E61" s="236">
        <f>IFERROR(VLOOKUP(A61,Insumos!$A$3:$I$10,9,FALSE),0)</f>
        <v>0</v>
      </c>
    </row>
    <row r="62" spans="1:5" x14ac:dyDescent="0.25">
      <c r="A62" s="42" t="str">
        <f>Planejamento2025[[#This Row],[ID]]</f>
        <v>Monde _T1</v>
      </c>
      <c r="B62" s="233" t="str">
        <f>IFERROR(VLOOKUP(A62,Planejamento2025[[#Data],[#Totals]],2,FALSE),0)</f>
        <v>Montagem de Painéis Elétricos</v>
      </c>
      <c r="C62" s="236" t="str">
        <f>IFERROR(VLOOKUP(A62,Planejamento2025[[#Data],[#Totals]],24,FALSE),0)</f>
        <v>R$ 0,00</v>
      </c>
      <c r="D62" s="240">
        <f>IFERROR(VLOOKUP(A62,'RH '!$A$4:$I$27,9,FALSE),0)</f>
        <v>0</v>
      </c>
      <c r="E62" s="236">
        <f>IFERROR(VLOOKUP(A62,Insumos!$A$3:$I$10,9,FALSE),0)</f>
        <v>0</v>
      </c>
    </row>
    <row r="63" spans="1:5" x14ac:dyDescent="0.25">
      <c r="A63" s="42" t="str">
        <f>Planejamento2025[[#This Row],[ID]]</f>
        <v>EleIns_T2</v>
      </c>
      <c r="B63" s="233" t="str">
        <f>IFERROR(VLOOKUP(A63,Planejamento2025[[#Data],[#Totals]],2,FALSE),0)</f>
        <v>Eletricista Instalador</v>
      </c>
      <c r="C63" s="236" t="str">
        <f>IFERROR(VLOOKUP(A63,Planejamento2025[[#Data],[#Totals]],24,FALSE),0)</f>
        <v>R$ 0,00</v>
      </c>
      <c r="D63" s="240">
        <f>IFERROR(VLOOKUP(A63,'RH '!$A$4:$I$27,9,FALSE),0)</f>
        <v>0</v>
      </c>
      <c r="E63" s="236">
        <f>IFERROR(VLOOKUP(A63,Insumos!$A$3:$I$10,9,FALSE),0)</f>
        <v>0</v>
      </c>
    </row>
    <row r="64" spans="1:5" x14ac:dyDescent="0.25">
      <c r="A64" s="42" t="str">
        <f>Planejamento2025[[#This Row],[ID]]</f>
        <v>Ing _T3</v>
      </c>
      <c r="B64" s="233" t="str">
        <f>IFERROR(VLOOKUP(A64,Planejamento2025[[#Data],[#Totals]],2,FALSE),0)</f>
        <v>Inglês</v>
      </c>
      <c r="C64" s="236">
        <f>IFERROR(VLOOKUP(A64,Planejamento2025[[#Data],[#Totals]],24,FALSE),0)</f>
        <v>1710</v>
      </c>
      <c r="D64" s="240">
        <f>IFERROR(VLOOKUP(A64,'RH '!$A$4:$I$27,9,FALSE),0)</f>
        <v>0</v>
      </c>
      <c r="E64" s="236">
        <f>IFERROR(VLOOKUP(A64,Insumos!$A$3:$I$10,9,FALSE),0)</f>
        <v>0</v>
      </c>
    </row>
    <row r="65" spans="1:5" x14ac:dyDescent="0.25">
      <c r="A65" s="42" t="str">
        <f>Planejamento2025[[#This Row],[ID]]</f>
        <v>PacOff_T5</v>
      </c>
      <c r="B65" s="233" t="str">
        <f>IFERROR(VLOOKUP(A65,Planejamento2025[[#Data],[#Totals]],2,FALSE),0)</f>
        <v>Pacote Office</v>
      </c>
      <c r="C65" s="236" t="str">
        <f>IFERROR(VLOOKUP(A65,Planejamento2025[[#Data],[#Totals]],24,FALSE),0)</f>
        <v>R$ 0,00</v>
      </c>
      <c r="D65" s="240">
        <f>IFERROR(VLOOKUP(A65,'RH '!$A$4:$I$27,9,FALSE),0)</f>
        <v>0</v>
      </c>
      <c r="E65" s="236">
        <f>IFERROR(VLOOKUP(A65,Insumos!$A$3:$I$10,9,FALSE),0)</f>
        <v>0</v>
      </c>
    </row>
    <row r="66" spans="1:5" x14ac:dyDescent="0.25">
      <c r="A66" s="42" t="str">
        <f>Planejamento2025[[#This Row],[ID]]</f>
        <v>SalFri_T1</v>
      </c>
      <c r="B66" s="233" t="str">
        <f>IFERROR(VLOOKUP(A66,Planejamento2025[[#Data],[#Totals]],2,FALSE),0)</f>
        <v>Salgados Fritos</v>
      </c>
      <c r="C66" s="236">
        <f>IFERROR(VLOOKUP(A66,Planejamento2025[[#Data],[#Totals]],24,FALSE),0)</f>
        <v>855</v>
      </c>
      <c r="D66" s="240">
        <f>IFERROR(VLOOKUP(A66,'RH '!$A$4:$I$27,9,FALSE),0)</f>
        <v>0</v>
      </c>
      <c r="E66" s="236">
        <f>IFERROR(VLOOKUP(A66,Insumos!$A$3:$I$10,9,FALSE),0)</f>
        <v>0</v>
      </c>
    </row>
    <row r="67" spans="1:5" x14ac:dyDescent="0.25">
      <c r="A67" s="42" t="str">
        <f>Planejamento2025[[#This Row],[ID]]</f>
        <v>PowBI_T2</v>
      </c>
      <c r="B67" s="233" t="str">
        <f>IFERROR(VLOOKUP(A67,Planejamento2025[[#Data],[#Totals]],2,FALSE),0)</f>
        <v>Power BI</v>
      </c>
      <c r="C67" s="236" t="str">
        <f>IFERROR(VLOOKUP(A67,Planejamento2025[[#Data],[#Totals]],24,FALSE),0)</f>
        <v>R$ 0,00</v>
      </c>
      <c r="D67" s="240">
        <f>IFERROR(VLOOKUP(A67,'RH '!$A$4:$I$27,9,FALSE),0)</f>
        <v>0</v>
      </c>
      <c r="E67" s="236">
        <f>IFERROR(VLOOKUP(A67,Insumos!$A$3:$I$10,9,FALSE),0)</f>
        <v>0</v>
      </c>
    </row>
    <row r="68" spans="1:5" x14ac:dyDescent="0.25">
      <c r="A68" s="42" t="str">
        <f>Planejamento2025[[#This Row],[ID]]</f>
        <v>Elade _T1</v>
      </c>
      <c r="B68" s="233" t="str">
        <f>IFERROR(VLOOKUP(A68,Planejamento2025[[#Data],[#Totals]],2,FALSE),0)</f>
        <v>Elaboração de Laudos Para Instalações Elétricas</v>
      </c>
      <c r="C68" s="236" t="str">
        <f>IFERROR(VLOOKUP(A68,Planejamento2025[[#Data],[#Totals]],24,FALSE),0)</f>
        <v>R$ 0,00</v>
      </c>
      <c r="D68" s="240">
        <f>IFERROR(VLOOKUP(A68,'RH '!$A$4:$I$27,9,FALSE),0)</f>
        <v>0</v>
      </c>
      <c r="E68" s="236">
        <f>IFERROR(VLOOKUP(A68,Insumos!$A$3:$I$10,9,FALSE),0)</f>
        <v>0</v>
      </c>
    </row>
    <row r="69" spans="1:5" x14ac:dyDescent="0.25">
      <c r="A69" s="42" t="str">
        <f>Planejamento2025[[#This Row],[ID]]</f>
        <v>Kai _T1</v>
      </c>
      <c r="B69" s="233" t="str">
        <f>IFERROR(VLOOKUP(A69,Planejamento2025[[#Data],[#Totals]],2,FALSE),0)</f>
        <v>Kaizen</v>
      </c>
      <c r="C69" s="236" t="str">
        <f>IFERROR(VLOOKUP(A69,Planejamento2025[[#Data],[#Totals]],24,FALSE),0)</f>
        <v>R$ 0,00</v>
      </c>
      <c r="D69" s="240">
        <f>IFERROR(VLOOKUP(A69,'RH '!$A$4:$I$27,9,FALSE),0)</f>
        <v>0</v>
      </c>
      <c r="E69" s="236">
        <f>IFERROR(VLOOKUP(A69,Insumos!$A$3:$I$10,9,FALSE),0)</f>
        <v>0</v>
      </c>
    </row>
    <row r="70" spans="1:5" x14ac:dyDescent="0.25">
      <c r="A70" s="42" t="str">
        <f>Planejamento2025[[#This Row],[ID]]</f>
        <v>Piz _T2</v>
      </c>
      <c r="B70" s="233" t="str">
        <f>IFERROR(VLOOKUP(A70,Planejamento2025[[#Data],[#Totals]],2,FALSE),0)</f>
        <v>Pizzas</v>
      </c>
      <c r="C70" s="236">
        <f>IFERROR(VLOOKUP(A70,Planejamento2025[[#Data],[#Totals]],24,FALSE),0)</f>
        <v>855</v>
      </c>
      <c r="D70" s="240">
        <f>IFERROR(VLOOKUP(A70,'RH '!$A$4:$I$27,9,FALSE),0)</f>
        <v>0</v>
      </c>
      <c r="E70" s="236">
        <f>IFERROR(VLOOKUP(A70,Insumos!$A$3:$I$10,9,FALSE),0)</f>
        <v>0</v>
      </c>
    </row>
    <row r="71" spans="1:5" x14ac:dyDescent="0.25">
      <c r="A71" s="42" t="str">
        <f>Planejamento2025[[#This Row],[ID]]</f>
        <v>Excno _T2</v>
      </c>
      <c r="B71" s="233" t="str">
        <f>IFERROR(VLOOKUP(A71,Planejamento2025[[#Data],[#Totals]],2,FALSE),0)</f>
        <v>Excelência no Atendimento</v>
      </c>
      <c r="C71" s="236">
        <f>IFERROR(VLOOKUP(A71,Planejamento2025[[#Data],[#Totals]],24,FALSE),0)</f>
        <v>950</v>
      </c>
      <c r="D71" s="240">
        <f>IFERROR(VLOOKUP(A71,'RH '!$A$4:$I$27,9,FALSE),0)</f>
        <v>0</v>
      </c>
      <c r="E71" s="236">
        <f>IFERROR(VLOOKUP(A71,Insumos!$A$3:$I$10,9,FALSE),0)</f>
        <v>0</v>
      </c>
    </row>
    <row r="72" spans="1:5" x14ac:dyDescent="0.25">
      <c r="A72" s="42" t="str">
        <f>Planejamento2025[[#This Row],[ID]]</f>
        <v>Lid _T3</v>
      </c>
      <c r="B72" s="233" t="str">
        <f>IFERROR(VLOOKUP(A72,Planejamento2025[[#Data],[#Totals]],2,FALSE),0)</f>
        <v>Liderança</v>
      </c>
      <c r="C72" s="236" t="str">
        <f>IFERROR(VLOOKUP(A72,Planejamento2025[[#Data],[#Totals]],24,FALSE),0)</f>
        <v>R$ 0,00</v>
      </c>
      <c r="D72" s="240">
        <f>IFERROR(VLOOKUP(A72,'RH '!$A$4:$I$27,9,FALSE),0)</f>
        <v>0</v>
      </c>
      <c r="E72" s="236">
        <f>IFERROR(VLOOKUP(A72,Insumos!$A$3:$I$10,9,FALSE),0)</f>
        <v>0</v>
      </c>
    </row>
    <row r="73" spans="1:5" x14ac:dyDescent="0.25">
      <c r="A73" s="42" t="str">
        <f>Planejamento2025[[#This Row],[ID]]</f>
        <v>AnáTer_T1</v>
      </c>
      <c r="B73" s="233" t="str">
        <f>IFERROR(VLOOKUP(A73,Planejamento2025[[#Data],[#Totals]],2,FALSE),0)</f>
        <v>Análise Termográfica</v>
      </c>
      <c r="C73" s="236" t="str">
        <f>IFERROR(VLOOKUP(A73,Planejamento2025[[#Data],[#Totals]],24,FALSE),0)</f>
        <v>R$ 0,00</v>
      </c>
      <c r="D73" s="240">
        <f>IFERROR(VLOOKUP(A73,'RH '!$A$4:$I$27,9,FALSE),0)</f>
        <v>0</v>
      </c>
      <c r="E73" s="236">
        <f>IFERROR(VLOOKUP(A73,Insumos!$A$3:$I$10,9,FALSE),0)</f>
        <v>0</v>
      </c>
    </row>
    <row r="74" spans="1:5" x14ac:dyDescent="0.25">
      <c r="A74" s="42" t="str">
        <f>Planejamento2025[[#This Row],[ID]]</f>
        <v>PrevInc_T1</v>
      </c>
      <c r="B74" s="233" t="str">
        <f>IFERROR(VLOOKUP(A74,Planejamento2025[[#Data],[#Totals]],2,FALSE),0)</f>
        <v>Prevenção a Incêndio</v>
      </c>
      <c r="C74" s="236" t="str">
        <f>IFERROR(VLOOKUP(A74,Planejamento2025[[#Data],[#Totals]],24,FALSE),0)</f>
        <v>R$ 0,00</v>
      </c>
      <c r="D74" s="240">
        <f>IFERROR(VLOOKUP(A74,'RH '!$A$4:$I$27,9,FALSE),0)</f>
        <v>0</v>
      </c>
      <c r="E74" s="236">
        <f>IFERROR(VLOOKUP(A74,Insumos!$A$3:$I$10,9,FALSE),0)</f>
        <v>0</v>
      </c>
    </row>
    <row r="75" spans="1:5" x14ac:dyDescent="0.25">
      <c r="A75" s="42" t="str">
        <f>Planejamento2025[[#This Row],[ID]]</f>
        <v>IngAva_T1</v>
      </c>
      <c r="B75" s="233" t="str">
        <f>IFERROR(VLOOKUP(A75,Planejamento2025[[#Data],[#Totals]],2,FALSE),0)</f>
        <v>Inglês Avançado</v>
      </c>
      <c r="C75" s="236">
        <f>IFERROR(VLOOKUP(A75,Planejamento2025[[#Data],[#Totals]],24,FALSE),0)</f>
        <v>712.5</v>
      </c>
      <c r="D75" s="240">
        <f>IFERROR(VLOOKUP(A75,'RH '!$A$4:$I$27,9,FALSE),0)</f>
        <v>0</v>
      </c>
      <c r="E75" s="236">
        <f>IFERROR(VLOOKUP(A75,Insumos!$A$3:$I$10,9,FALSE),0)</f>
        <v>0</v>
      </c>
    </row>
    <row r="76" spans="1:5" x14ac:dyDescent="0.25">
      <c r="A76" s="42" t="str">
        <f>Planejamento2025[[#This Row],[ID]]</f>
        <v>Pan _T1</v>
      </c>
      <c r="B76" s="233" t="str">
        <f>IFERROR(VLOOKUP(A76,Planejamento2025[[#Data],[#Totals]],2,FALSE),0)</f>
        <v>Panetones</v>
      </c>
      <c r="C76" s="236">
        <f>IFERROR(VLOOKUP(A76,Planejamento2025[[#Data],[#Totals]],24,FALSE),0)</f>
        <v>855</v>
      </c>
      <c r="D76" s="240">
        <f>IFERROR(VLOOKUP(A76,'RH '!$A$4:$I$27,9,FALSE),0)</f>
        <v>0</v>
      </c>
      <c r="E76" s="236">
        <f>IFERROR(VLOOKUP(A76,Insumos!$A$3:$I$10,9,FALSE),0)</f>
        <v>0</v>
      </c>
    </row>
    <row r="77" spans="1:5" x14ac:dyDescent="0.25">
      <c r="A77" s="42" t="str">
        <f>Planejamento2025[[#This Row],[ID]]</f>
        <v>ExcBás_T2</v>
      </c>
      <c r="B77" s="233" t="str">
        <f>IFERROR(VLOOKUP(A77,Planejamento2025[[#Data],[#Totals]],2,FALSE),0)</f>
        <v>Excel Básico</v>
      </c>
      <c r="C77" s="236" t="str">
        <f>IFERROR(VLOOKUP(A77,Planejamento2025[[#Data],[#Totals]],24,FALSE),0)</f>
        <v>R$ 0,00</v>
      </c>
      <c r="D77" s="240">
        <f>IFERROR(VLOOKUP(A77,'RH '!$A$4:$I$27,9,FALSE),0)</f>
        <v>0</v>
      </c>
      <c r="E77" s="236">
        <f>IFERROR(VLOOKUP(A77,Insumos!$A$3:$I$10,9,FALSE),0)</f>
        <v>0</v>
      </c>
    </row>
    <row r="78" spans="1:5" x14ac:dyDescent="0.25">
      <c r="A78" s="42" t="str">
        <f>Planejamento2025[[#This Row],[ID]]</f>
        <v>SorArt_T2</v>
      </c>
      <c r="B78" s="233" t="str">
        <f>IFERROR(VLOOKUP(A78,Planejamento2025[[#Data],[#Totals]],2,FALSE),0)</f>
        <v>Sorvetes Artesanais</v>
      </c>
      <c r="C78" s="236">
        <f>IFERROR(VLOOKUP(A78,Planejamento2025[[#Data],[#Totals]],24,FALSE),0)</f>
        <v>855</v>
      </c>
      <c r="D78" s="240">
        <f>IFERROR(VLOOKUP(A78,'RH '!$A$4:$I$27,9,FALSE),0)</f>
        <v>0</v>
      </c>
      <c r="E78" s="236">
        <f>IFERROR(VLOOKUP(A78,Insumos!$A$3:$I$10,9,FALSE),0)</f>
        <v>0</v>
      </c>
    </row>
    <row r="79" spans="1:5" x14ac:dyDescent="0.25">
      <c r="A79" s="42" t="str">
        <f>Planejamento2025[[#This Row],[ID]]</f>
        <v>ManPro_T1</v>
      </c>
      <c r="B79" s="233" t="str">
        <f>IFERROR(VLOOKUP(A79,Planejamento2025[[#Data],[#Totals]],2,FALSE),0)</f>
        <v>Manutenção Produtiva Total</v>
      </c>
      <c r="C79" s="236" t="str">
        <f>IFERROR(VLOOKUP(A79,Planejamento2025[[#Data],[#Totals]],24,FALSE),0)</f>
        <v>R$ 0,00</v>
      </c>
      <c r="D79" s="240">
        <f>IFERROR(VLOOKUP(A79,'RH '!$A$4:$I$27,9,FALSE),0)</f>
        <v>0</v>
      </c>
      <c r="E79" s="236">
        <f>IFERROR(VLOOKUP(A79,Insumos!$A$3:$I$10,9,FALSE),0)</f>
        <v>0</v>
      </c>
    </row>
    <row r="80" spans="1:5" x14ac:dyDescent="0.25">
      <c r="A80" s="400"/>
      <c r="B80" s="289"/>
      <c r="C80" s="301">
        <f>SUBTOTAL(109,Tabela1[Valor Previsto])</f>
        <v>105497.5</v>
      </c>
      <c r="D80" s="301">
        <f>SUBTOTAL(109,Tabela1[Valor RH / Executado])</f>
        <v>64133.34</v>
      </c>
      <c r="E80" s="301">
        <f>SUBTOTAL(109,Tabela1[Valor Insumo / Executado])</f>
        <v>2316.4899999999998</v>
      </c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09" spans="1:1" x14ac:dyDescent="0.25">
      <c r="A109" s="42" t="s">
        <v>250</v>
      </c>
    </row>
    <row r="110" spans="1:1" x14ac:dyDescent="0.25">
      <c r="A110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1" spans="1:1" x14ac:dyDescent="0.25">
      <c r="A111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2" spans="1:1" x14ac:dyDescent="0.25">
      <c r="A112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3" spans="1:1" x14ac:dyDescent="0.25">
      <c r="A113"/>
    </row>
  </sheetData>
  <conditionalFormatting sqref="A1:A1048576">
    <cfRule type="duplicateValues" dxfId="114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472F1-DBCE-4682-8200-D659EA697644}">
  <sheetPr codeName="Planilha12"/>
  <dimension ref="A1:P49"/>
  <sheetViews>
    <sheetView workbookViewId="0">
      <selection activeCell="K23" sqref="K23"/>
    </sheetView>
  </sheetViews>
  <sheetFormatPr defaultRowHeight="15" x14ac:dyDescent="0.25"/>
  <cols>
    <col min="1" max="1" width="11.5703125" bestFit="1" customWidth="1"/>
    <col min="2" max="2" width="58.42578125" bestFit="1" customWidth="1"/>
    <col min="3" max="3" width="15.140625" bestFit="1" customWidth="1"/>
    <col min="4" max="4" width="12.140625" bestFit="1" customWidth="1"/>
    <col min="5" max="6" width="13.28515625" bestFit="1" customWidth="1"/>
    <col min="7" max="7" width="15" style="211" customWidth="1"/>
    <col min="8" max="8" width="12.140625" style="211" bestFit="1" customWidth="1"/>
    <col min="9" max="9" width="13.7109375" style="235" bestFit="1" customWidth="1"/>
    <col min="10" max="11" width="12.140625" bestFit="1" customWidth="1"/>
    <col min="14" max="14" width="34.140625" customWidth="1"/>
    <col min="15" max="16" width="12.140625" bestFit="1" customWidth="1"/>
  </cols>
  <sheetData>
    <row r="1" spans="1:16" ht="14.25" customHeight="1" x14ac:dyDescent="0.25">
      <c r="C1" s="270">
        <v>45689</v>
      </c>
      <c r="D1" s="270">
        <v>45717</v>
      </c>
      <c r="E1" s="270">
        <v>45748</v>
      </c>
      <c r="F1" s="270">
        <v>45778</v>
      </c>
      <c r="G1" s="276">
        <v>45809</v>
      </c>
      <c r="H1" s="276">
        <v>45839</v>
      </c>
      <c r="I1" s="271" t="s">
        <v>295</v>
      </c>
    </row>
    <row r="2" spans="1:16" ht="29.25" customHeight="1" x14ac:dyDescent="0.25">
      <c r="A2" s="214"/>
      <c r="B2" s="214"/>
      <c r="C2" s="261" t="s">
        <v>294</v>
      </c>
      <c r="D2" s="261" t="s">
        <v>294</v>
      </c>
      <c r="E2" s="261" t="s">
        <v>294</v>
      </c>
      <c r="F2" s="261" t="s">
        <v>294</v>
      </c>
      <c r="G2" s="277" t="s">
        <v>294</v>
      </c>
      <c r="H2" s="277" t="s">
        <v>294</v>
      </c>
    </row>
    <row r="4" spans="1:16" s="266" customFormat="1" ht="15" customHeight="1" x14ac:dyDescent="0.25">
      <c r="A4" s="226" t="s">
        <v>93</v>
      </c>
      <c r="B4" s="226" t="s">
        <v>284</v>
      </c>
      <c r="C4" s="263"/>
      <c r="D4" s="263"/>
      <c r="E4" s="263"/>
      <c r="F4" s="263"/>
      <c r="G4" s="278"/>
      <c r="H4" s="278"/>
      <c r="I4" s="269"/>
      <c r="N4"/>
      <c r="O4" t="s">
        <v>157</v>
      </c>
      <c r="P4" t="s">
        <v>158</v>
      </c>
    </row>
    <row r="5" spans="1:16" ht="15" customHeight="1" x14ac:dyDescent="0.25">
      <c r="A5" s="243" t="s">
        <v>296</v>
      </c>
      <c r="B5" s="244" t="str">
        <f>VLOOKUP(A5,Planejamento2025[[#Data],[#Totals]],7,FALSE)</f>
        <v>Ronaldo Moro</v>
      </c>
      <c r="C5" s="245"/>
      <c r="D5" s="246">
        <v>1282.5</v>
      </c>
      <c r="E5" s="247">
        <v>1425</v>
      </c>
      <c r="F5" s="274">
        <v>1852.5</v>
      </c>
      <c r="G5" s="274">
        <f>(12*3)*47.5</f>
        <v>1710</v>
      </c>
      <c r="H5" s="274">
        <f>(9*3)*47.5</f>
        <v>1282.5</v>
      </c>
      <c r="I5" s="235">
        <f>SUM(C5:H5)</f>
        <v>7552.5</v>
      </c>
      <c r="N5" s="241" t="s">
        <v>284</v>
      </c>
      <c r="O5" s="242"/>
      <c r="P5" s="242"/>
    </row>
    <row r="6" spans="1:16" ht="15" customHeight="1" x14ac:dyDescent="0.25">
      <c r="A6" s="243" t="s">
        <v>297</v>
      </c>
      <c r="B6" s="244" t="str">
        <f>VLOOKUP(A6,Planejamento2025[[#Data],[#Totals]],7,FALSE)</f>
        <v>Ronaldo Borba</v>
      </c>
      <c r="C6" s="245"/>
      <c r="D6" s="246">
        <v>1282.5</v>
      </c>
      <c r="E6" s="247">
        <v>1282.5</v>
      </c>
      <c r="F6" s="274">
        <v>1852.5</v>
      </c>
      <c r="G6" s="274">
        <v>142.5</v>
      </c>
      <c r="H6" s="274"/>
      <c r="I6" s="235">
        <f t="shared" ref="I6:I26" si="0">SUM(C6:H6)</f>
        <v>4560</v>
      </c>
      <c r="N6" s="244" t="s">
        <v>382</v>
      </c>
      <c r="O6" s="247">
        <v>1710</v>
      </c>
      <c r="P6" s="247">
        <v>1282.5</v>
      </c>
    </row>
    <row r="7" spans="1:16" ht="15" customHeight="1" x14ac:dyDescent="0.25">
      <c r="A7" s="243" t="s">
        <v>298</v>
      </c>
      <c r="B7" s="244" t="str">
        <f>VLOOKUP(A7,Planejamento2025[[#Data],[#Totals]],7,FALSE)</f>
        <v>Ronaldo Borba</v>
      </c>
      <c r="C7" s="245"/>
      <c r="D7" s="246"/>
      <c r="E7" s="247">
        <v>1282.5</v>
      </c>
      <c r="F7" s="274">
        <v>1852.5</v>
      </c>
      <c r="G7" s="274">
        <v>1425</v>
      </c>
      <c r="H7" s="274"/>
      <c r="I7" s="235">
        <f t="shared" si="0"/>
        <v>4560</v>
      </c>
      <c r="K7" s="296"/>
      <c r="N7" s="381" t="s">
        <v>383</v>
      </c>
      <c r="O7" s="247">
        <v>2992.5</v>
      </c>
      <c r="P7" s="247"/>
    </row>
    <row r="8" spans="1:16" ht="15" customHeight="1" x14ac:dyDescent="0.25">
      <c r="A8" s="243" t="s">
        <v>299</v>
      </c>
      <c r="B8" s="244" t="str">
        <f>VLOOKUP(A8,Planejamento2025[[#Data],[#Totals]],7,FALSE)</f>
        <v>Ronaldo Borba</v>
      </c>
      <c r="C8" s="245"/>
      <c r="D8" s="246"/>
      <c r="E8" s="247"/>
      <c r="F8" s="274"/>
      <c r="G8" s="274">
        <v>855</v>
      </c>
      <c r="H8" s="274">
        <v>570</v>
      </c>
      <c r="I8" s="235">
        <f t="shared" si="0"/>
        <v>1425</v>
      </c>
      <c r="N8" s="382" t="s">
        <v>384</v>
      </c>
      <c r="O8" s="252">
        <v>570</v>
      </c>
      <c r="P8" s="252">
        <v>550.21</v>
      </c>
    </row>
    <row r="9" spans="1:16" ht="15" customHeight="1" x14ac:dyDescent="0.25">
      <c r="A9" s="249" t="s">
        <v>302</v>
      </c>
      <c r="B9" s="244" t="str">
        <f>VLOOKUP(A9,Planejamento2025[[#Data],[#Totals]],7,FALSE)</f>
        <v>Edmilton / Juliana / Rafael</v>
      </c>
      <c r="C9" s="250"/>
      <c r="D9" s="275"/>
      <c r="E9" s="384"/>
      <c r="F9" s="275"/>
      <c r="G9" s="384"/>
      <c r="H9" s="384"/>
      <c r="I9" s="385">
        <v>7037.92</v>
      </c>
      <c r="K9" s="296"/>
      <c r="N9" s="382" t="s">
        <v>385</v>
      </c>
      <c r="O9" s="252">
        <v>570</v>
      </c>
      <c r="P9" s="252">
        <v>550.21</v>
      </c>
    </row>
    <row r="10" spans="1:16" ht="15" customHeight="1" x14ac:dyDescent="0.25">
      <c r="A10" s="249" t="s">
        <v>303</v>
      </c>
      <c r="B10" s="244" t="str">
        <f>VLOOKUP(A10,Planejamento2025[[#Data],[#Totals]],7,FALSE)</f>
        <v>Agatha Cristina dos Santos Marcondes</v>
      </c>
      <c r="C10" s="250"/>
      <c r="D10" s="251">
        <f>570/2</f>
        <v>285</v>
      </c>
      <c r="E10" s="252">
        <v>380</v>
      </c>
      <c r="F10" s="275">
        <v>285</v>
      </c>
      <c r="G10" s="384">
        <f>(4*2)*47.5</f>
        <v>380</v>
      </c>
      <c r="H10" s="384">
        <f>(3*2)*47.5</f>
        <v>285</v>
      </c>
      <c r="I10" s="235">
        <f t="shared" si="0"/>
        <v>1615</v>
      </c>
      <c r="J10" s="296"/>
      <c r="N10" s="382" t="s">
        <v>386</v>
      </c>
      <c r="O10" s="252">
        <v>760</v>
      </c>
      <c r="P10" s="252">
        <v>570</v>
      </c>
    </row>
    <row r="11" spans="1:16" ht="15" customHeight="1" x14ac:dyDescent="0.25">
      <c r="A11" s="249" t="s">
        <v>304</v>
      </c>
      <c r="B11" s="244" t="str">
        <f>VLOOKUP(A11,Planejamento2025[[#Data],[#Totals]],7,FALSE)</f>
        <v>Agatha Cristina dos Santos Marcondes</v>
      </c>
      <c r="C11" s="250"/>
      <c r="D11" s="251">
        <v>285</v>
      </c>
      <c r="E11" s="252">
        <f>760/2</f>
        <v>380</v>
      </c>
      <c r="F11" s="275">
        <v>285</v>
      </c>
      <c r="G11" s="384">
        <v>380</v>
      </c>
      <c r="H11" s="384">
        <v>285</v>
      </c>
      <c r="I11" s="235">
        <f t="shared" si="0"/>
        <v>1615</v>
      </c>
      <c r="N11" s="382" t="s">
        <v>387</v>
      </c>
      <c r="O11" s="252">
        <v>1710</v>
      </c>
      <c r="P11" s="252">
        <v>1425</v>
      </c>
    </row>
    <row r="12" spans="1:16" ht="15" customHeight="1" x14ac:dyDescent="0.25">
      <c r="A12" s="249" t="s">
        <v>305</v>
      </c>
      <c r="B12" s="244" t="str">
        <f>VLOOKUP(A12,Planejamento2025[[#Data],[#Totals]],7,FALSE)</f>
        <v>Ana Flavia Eilliar Bianchini</v>
      </c>
      <c r="C12" s="250"/>
      <c r="D12" s="275">
        <v>1282.5</v>
      </c>
      <c r="E12" s="384">
        <v>1282.5</v>
      </c>
      <c r="F12" s="275">
        <v>1852.5</v>
      </c>
      <c r="G12" s="384">
        <v>1710</v>
      </c>
      <c r="H12" s="384">
        <f>(10*3)*47.5</f>
        <v>1425</v>
      </c>
      <c r="I12" s="385">
        <f t="shared" si="0"/>
        <v>7552.5</v>
      </c>
      <c r="N12" s="382" t="s">
        <v>388</v>
      </c>
      <c r="O12" s="384">
        <v>570</v>
      </c>
      <c r="P12" s="384">
        <v>550.21</v>
      </c>
    </row>
    <row r="13" spans="1:16" ht="15" customHeight="1" x14ac:dyDescent="0.25">
      <c r="A13" s="249" t="s">
        <v>306</v>
      </c>
      <c r="B13" s="244" t="str">
        <f>VLOOKUP(A13,Planejamento2025[[#Data],[#Totals]],7,FALSE)</f>
        <v>Wanderly Francisca Nepomuceno</v>
      </c>
      <c r="C13" s="250"/>
      <c r="D13" s="251">
        <v>855</v>
      </c>
      <c r="E13" s="252">
        <v>855</v>
      </c>
      <c r="F13" s="275">
        <v>1425</v>
      </c>
      <c r="G13" s="384">
        <v>570</v>
      </c>
      <c r="H13" s="384"/>
      <c r="I13" s="235">
        <f t="shared" si="0"/>
        <v>3705</v>
      </c>
      <c r="J13" s="296"/>
      <c r="N13" s="382" t="s">
        <v>389</v>
      </c>
      <c r="O13" s="252">
        <v>1140</v>
      </c>
      <c r="P13" s="252">
        <v>427.5</v>
      </c>
    </row>
    <row r="14" spans="1:16" ht="15" customHeight="1" x14ac:dyDescent="0.25">
      <c r="A14" s="249" t="s">
        <v>307</v>
      </c>
      <c r="B14" s="244" t="str">
        <f>VLOOKUP(A14,Planejamento2025[[#Data],[#Totals]],7,FALSE)</f>
        <v>Wanderly Francisca Nepomuceno</v>
      </c>
      <c r="C14" s="250"/>
      <c r="D14" s="251"/>
      <c r="E14" s="252">
        <v>427.5</v>
      </c>
      <c r="F14" s="275">
        <v>427.5</v>
      </c>
      <c r="G14" s="384">
        <v>570</v>
      </c>
      <c r="H14" s="384">
        <v>427.5</v>
      </c>
      <c r="I14" s="235">
        <f t="shared" si="0"/>
        <v>1852.5</v>
      </c>
      <c r="N14" s="249" t="s">
        <v>390</v>
      </c>
      <c r="O14" s="252">
        <v>220</v>
      </c>
      <c r="P14" s="252">
        <v>165</v>
      </c>
    </row>
    <row r="15" spans="1:16" ht="15" customHeight="1" x14ac:dyDescent="0.25">
      <c r="A15" s="249" t="s">
        <v>310</v>
      </c>
      <c r="B15" s="244" t="str">
        <f>VLOOKUP(A15,Planejamento2025[[#Data],[#Totals]],7,FALSE)</f>
        <v>Ingrid de Assis</v>
      </c>
      <c r="C15" s="250"/>
      <c r="D15" s="251">
        <v>165</v>
      </c>
      <c r="E15" s="252">
        <v>220</v>
      </c>
      <c r="F15" s="275">
        <v>220</v>
      </c>
      <c r="G15" s="384">
        <f>4*55</f>
        <v>220</v>
      </c>
      <c r="H15" s="384">
        <v>165</v>
      </c>
      <c r="I15" s="235">
        <f t="shared" si="0"/>
        <v>990</v>
      </c>
      <c r="N15" s="249" t="s">
        <v>391</v>
      </c>
      <c r="O15" s="252">
        <v>712.5</v>
      </c>
      <c r="P15" s="252">
        <v>570</v>
      </c>
    </row>
    <row r="16" spans="1:16" ht="15" customHeight="1" x14ac:dyDescent="0.25">
      <c r="A16" s="249" t="s">
        <v>311</v>
      </c>
      <c r="B16" s="244" t="str">
        <f>VLOOKUP(A16,Planejamento2025[[#Data],[#Totals]],7,FALSE)</f>
        <v>Irene Stephani</v>
      </c>
      <c r="C16" s="250"/>
      <c r="D16" s="251">
        <v>237.5</v>
      </c>
      <c r="E16" s="252">
        <v>427.5</v>
      </c>
      <c r="F16" s="275">
        <v>570</v>
      </c>
      <c r="G16" s="384">
        <f>(2*3)*47.5</f>
        <v>285</v>
      </c>
      <c r="H16" s="384"/>
      <c r="I16" s="235">
        <f t="shared" si="0"/>
        <v>1520</v>
      </c>
      <c r="J16" s="296"/>
      <c r="N16" s="383" t="s">
        <v>392</v>
      </c>
      <c r="O16" s="252"/>
      <c r="P16" s="252"/>
    </row>
    <row r="17" spans="1:16" ht="15" customHeight="1" x14ac:dyDescent="0.25">
      <c r="A17" s="249" t="s">
        <v>319</v>
      </c>
      <c r="B17" s="244" t="str">
        <f>VLOOKUP(A17,Planejamento2025[[#Data],[#Totals]],7,FALSE)</f>
        <v>Irene Stephani</v>
      </c>
      <c r="C17" s="250"/>
      <c r="D17" s="251"/>
      <c r="E17" s="252"/>
      <c r="F17" s="275"/>
      <c r="G17" s="384">
        <f>(3*3)*47.5</f>
        <v>427.5</v>
      </c>
      <c r="H17" s="384">
        <f>(4*3)*47.5</f>
        <v>570</v>
      </c>
      <c r="I17" s="235">
        <f t="shared" si="0"/>
        <v>997.5</v>
      </c>
      <c r="N17" s="249" t="s">
        <v>393</v>
      </c>
      <c r="O17" s="252">
        <v>855</v>
      </c>
      <c r="P17" s="252">
        <v>712.5</v>
      </c>
    </row>
    <row r="18" spans="1:16" ht="15" customHeight="1" x14ac:dyDescent="0.25">
      <c r="A18" s="249" t="s">
        <v>312</v>
      </c>
      <c r="B18" s="244" t="str">
        <f>VLOOKUP(A18,Planejamento2025[[#Data],[#Totals]],7,FALSE)</f>
        <v>Robson da Silva Gonçalves</v>
      </c>
      <c r="C18" s="250"/>
      <c r="D18" s="251">
        <v>855</v>
      </c>
      <c r="E18" s="252">
        <v>855</v>
      </c>
      <c r="F18" s="275">
        <v>1140</v>
      </c>
      <c r="G18" s="384"/>
      <c r="H18" s="384"/>
      <c r="I18" s="235">
        <f t="shared" si="0"/>
        <v>2850</v>
      </c>
      <c r="N18" s="249" t="s">
        <v>394</v>
      </c>
      <c r="O18" s="252">
        <v>380</v>
      </c>
      <c r="P18" s="252">
        <v>380</v>
      </c>
    </row>
    <row r="19" spans="1:16" ht="15" customHeight="1" x14ac:dyDescent="0.25">
      <c r="A19" s="249" t="s">
        <v>313</v>
      </c>
      <c r="B19" s="244" t="str">
        <f>VLOOKUP(A19,Planejamento2025[[#Data],[#Totals]],7,FALSE)</f>
        <v>Danilo Ressutti Mendes</v>
      </c>
      <c r="C19" s="250"/>
      <c r="D19" s="251">
        <v>855</v>
      </c>
      <c r="E19" s="252"/>
      <c r="F19" s="275"/>
      <c r="G19" s="384"/>
      <c r="H19" s="384"/>
      <c r="I19" s="235">
        <f t="shared" si="0"/>
        <v>855</v>
      </c>
      <c r="N19" s="383" t="s">
        <v>395</v>
      </c>
      <c r="O19" s="252">
        <v>1282.5</v>
      </c>
      <c r="P19" s="252"/>
    </row>
    <row r="20" spans="1:16" ht="15" customHeight="1" x14ac:dyDescent="0.25">
      <c r="A20" s="249" t="s">
        <v>314</v>
      </c>
      <c r="B20" s="244" t="str">
        <f>VLOOKUP(A20,Planejamento2025[[#Data],[#Totals]],7,FALSE)</f>
        <v>Danilo Ressutti Mendes</v>
      </c>
      <c r="C20" s="250"/>
      <c r="D20" s="251"/>
      <c r="E20" s="252">
        <v>855</v>
      </c>
      <c r="F20" s="275"/>
      <c r="G20" s="384"/>
      <c r="H20" s="384"/>
      <c r="I20" s="235">
        <f t="shared" si="0"/>
        <v>855</v>
      </c>
      <c r="O20" s="296"/>
    </row>
    <row r="21" spans="1:16" ht="15" customHeight="1" x14ac:dyDescent="0.25">
      <c r="A21" s="249" t="s">
        <v>315</v>
      </c>
      <c r="B21" s="244" t="str">
        <f>VLOOKUP(A21,Planejamento2025[[#Data],[#Totals]],7,FALSE)</f>
        <v>Danilo Ressutti Mendes</v>
      </c>
      <c r="C21" s="250"/>
      <c r="D21" s="251"/>
      <c r="E21" s="252"/>
      <c r="F21" s="275">
        <v>712.5</v>
      </c>
      <c r="G21" s="384"/>
      <c r="H21" s="384"/>
      <c r="I21" s="235">
        <f t="shared" si="0"/>
        <v>712.5</v>
      </c>
    </row>
    <row r="22" spans="1:16" ht="15" customHeight="1" x14ac:dyDescent="0.25">
      <c r="A22" s="249" t="s">
        <v>316</v>
      </c>
      <c r="B22" s="244" t="str">
        <f>VLOOKUP(A22,Planejamento2025[[#Data],[#Totals]],7,FALSE)</f>
        <v>Danilo Ressutti Mendes</v>
      </c>
      <c r="C22" s="250"/>
      <c r="D22" s="251"/>
      <c r="E22" s="252"/>
      <c r="F22" s="275">
        <v>570</v>
      </c>
      <c r="G22" s="384">
        <v>142.5</v>
      </c>
      <c r="H22" s="384"/>
      <c r="I22" s="235">
        <f t="shared" si="0"/>
        <v>712.5</v>
      </c>
      <c r="J22" s="296"/>
    </row>
    <row r="23" spans="1:16" ht="15" customHeight="1" x14ac:dyDescent="0.25">
      <c r="A23" s="249" t="s">
        <v>317</v>
      </c>
      <c r="B23" s="244" t="str">
        <f>VLOOKUP(A23,Planejamento2025[[#Data],[#Totals]],7,FALSE)</f>
        <v>Danilo Ressutti Mendes</v>
      </c>
      <c r="C23" s="250"/>
      <c r="D23" s="251"/>
      <c r="E23" s="252"/>
      <c r="F23" s="275"/>
      <c r="G23" s="384">
        <v>712.5</v>
      </c>
      <c r="H23" s="384"/>
      <c r="I23" s="235">
        <f t="shared" si="0"/>
        <v>712.5</v>
      </c>
    </row>
    <row r="24" spans="1:16" ht="15" customHeight="1" x14ac:dyDescent="0.25">
      <c r="A24" s="249" t="s">
        <v>318</v>
      </c>
      <c r="B24" s="244" t="str">
        <f>VLOOKUP(A24,Planejamento2025[[#Data],[#Totals]],7,FALSE)</f>
        <v>Danilo Ressutti Mendes</v>
      </c>
      <c r="C24" s="250"/>
      <c r="D24" s="251"/>
      <c r="E24" s="252"/>
      <c r="F24" s="275"/>
      <c r="G24" s="384"/>
      <c r="H24" s="384">
        <v>712.5</v>
      </c>
      <c r="I24" s="235">
        <f t="shared" si="0"/>
        <v>712.5</v>
      </c>
    </row>
    <row r="25" spans="1:16" ht="15" customHeight="1" x14ac:dyDescent="0.25">
      <c r="A25" s="249" t="s">
        <v>320</v>
      </c>
      <c r="B25" s="244" t="str">
        <f>VLOOKUP(A25,Planejamento2025[[#Data],[#Totals]],7,FALSE)</f>
        <v>Karina Stolemberger</v>
      </c>
      <c r="C25" s="250"/>
      <c r="D25" s="251">
        <v>285</v>
      </c>
      <c r="E25" s="252">
        <v>285</v>
      </c>
      <c r="F25" s="275">
        <v>475</v>
      </c>
      <c r="G25" s="384">
        <f>(4*2)*47.5</f>
        <v>380</v>
      </c>
      <c r="H25" s="384">
        <v>380</v>
      </c>
      <c r="I25" s="235">
        <f t="shared" si="0"/>
        <v>1805</v>
      </c>
    </row>
    <row r="26" spans="1:16" ht="15" customHeight="1" x14ac:dyDescent="0.25">
      <c r="A26" s="283" t="s">
        <v>277</v>
      </c>
      <c r="B26" s="244" t="str">
        <f>VLOOKUP(A26,Planejamento2025[[#Data],[#Totals]],7,FALSE)</f>
        <v>João Kleber Indena Martins</v>
      </c>
      <c r="C26" s="284"/>
      <c r="D26" s="285"/>
      <c r="E26" s="286"/>
      <c r="F26" s="287"/>
      <c r="G26" s="386">
        <v>1282.5</v>
      </c>
      <c r="H26" s="386"/>
      <c r="I26" s="235">
        <f t="shared" si="0"/>
        <v>1282.5</v>
      </c>
      <c r="K26">
        <v>1567.5</v>
      </c>
    </row>
    <row r="27" spans="1:16" s="266" customFormat="1" ht="15" customHeight="1" thickBot="1" x14ac:dyDescent="0.3">
      <c r="A27" s="262"/>
      <c r="B27" s="262" t="s">
        <v>285</v>
      </c>
      <c r="C27" s="267">
        <f t="shared" ref="C27:I27" si="1">SUM(C4:C25)</f>
        <v>0</v>
      </c>
      <c r="D27" s="267">
        <f t="shared" si="1"/>
        <v>7670</v>
      </c>
      <c r="E27" s="267">
        <f t="shared" si="1"/>
        <v>9957.5</v>
      </c>
      <c r="F27" s="267">
        <f t="shared" si="1"/>
        <v>13520</v>
      </c>
      <c r="G27" s="279">
        <f t="shared" si="1"/>
        <v>9910</v>
      </c>
      <c r="H27" s="279">
        <f t="shared" si="1"/>
        <v>6102.5</v>
      </c>
      <c r="I27" s="279">
        <f t="shared" si="1"/>
        <v>54197.919999999998</v>
      </c>
    </row>
    <row r="28" spans="1:16" ht="15" customHeight="1" thickTop="1" x14ac:dyDescent="0.25">
      <c r="A28" s="241" t="s">
        <v>286</v>
      </c>
      <c r="B28" s="241" t="s">
        <v>287</v>
      </c>
      <c r="C28" s="256"/>
      <c r="D28" s="256"/>
      <c r="E28" s="256"/>
      <c r="F28" s="256"/>
      <c r="G28" s="280"/>
      <c r="H28" s="280"/>
      <c r="I28" s="235">
        <f t="shared" ref="I28:I34" si="2">SUM(C28:H28)</f>
        <v>0</v>
      </c>
    </row>
    <row r="29" spans="1:16" s="213" customFormat="1" ht="15" customHeight="1" x14ac:dyDescent="0.25">
      <c r="A29" s="243"/>
      <c r="B29" s="244" t="s">
        <v>288</v>
      </c>
      <c r="C29" s="258">
        <v>690.33</v>
      </c>
      <c r="D29" s="259">
        <v>30.85</v>
      </c>
      <c r="E29" s="257"/>
      <c r="F29" s="257"/>
      <c r="G29" s="280"/>
      <c r="H29" s="280"/>
      <c r="I29" s="235">
        <f t="shared" si="2"/>
        <v>721.18000000000006</v>
      </c>
    </row>
    <row r="30" spans="1:16" s="266" customFormat="1" ht="15" customHeight="1" thickBot="1" x14ac:dyDescent="0.3">
      <c r="A30" s="226"/>
      <c r="B30" s="262" t="s">
        <v>289</v>
      </c>
      <c r="C30" s="263">
        <f>SUM(C29:C29)</f>
        <v>690.33</v>
      </c>
      <c r="D30" s="264">
        <f>SUM(D29:D29)</f>
        <v>30.85</v>
      </c>
      <c r="E30" s="264">
        <f>SUM(E29:E29)</f>
        <v>0</v>
      </c>
      <c r="F30" s="265"/>
      <c r="G30" s="280"/>
      <c r="H30" s="280"/>
      <c r="I30" s="269"/>
    </row>
    <row r="31" spans="1:16" ht="15" customHeight="1" thickTop="1" x14ac:dyDescent="0.25">
      <c r="A31" s="241" t="s">
        <v>290</v>
      </c>
      <c r="B31" s="241" t="s">
        <v>291</v>
      </c>
      <c r="C31" s="242"/>
      <c r="D31" s="242"/>
      <c r="E31" s="242"/>
      <c r="F31" s="242"/>
      <c r="G31" s="278"/>
      <c r="H31" s="278"/>
    </row>
    <row r="32" spans="1:16" ht="15" customHeight="1" x14ac:dyDescent="0.25">
      <c r="A32" s="243"/>
      <c r="B32" s="258" t="s">
        <v>292</v>
      </c>
      <c r="C32" s="260"/>
      <c r="D32" s="246">
        <v>1855</v>
      </c>
      <c r="E32" s="246">
        <v>1855</v>
      </c>
      <c r="F32" s="248"/>
      <c r="G32" s="281"/>
      <c r="H32" s="281"/>
      <c r="I32" s="235">
        <f t="shared" si="2"/>
        <v>3710</v>
      </c>
    </row>
    <row r="33" spans="1:9" ht="15" customHeight="1" x14ac:dyDescent="0.25">
      <c r="A33" s="249"/>
      <c r="B33" s="258" t="s">
        <v>292</v>
      </c>
      <c r="C33" s="255"/>
      <c r="D33" s="255"/>
      <c r="E33" s="255">
        <v>140</v>
      </c>
      <c r="F33" s="255"/>
      <c r="G33" s="253"/>
      <c r="H33" s="253"/>
      <c r="I33" s="235">
        <f t="shared" si="2"/>
        <v>140</v>
      </c>
    </row>
    <row r="34" spans="1:9" s="266" customFormat="1" ht="15" customHeight="1" thickBot="1" x14ac:dyDescent="0.3">
      <c r="A34" s="268"/>
      <c r="B34" s="262" t="s">
        <v>293</v>
      </c>
      <c r="C34" s="267">
        <f t="shared" ref="C34:H34" si="3">SUM(C31:C33)</f>
        <v>0</v>
      </c>
      <c r="D34" s="267">
        <f t="shared" si="3"/>
        <v>1855</v>
      </c>
      <c r="E34" s="267">
        <f t="shared" si="3"/>
        <v>1995</v>
      </c>
      <c r="F34" s="267">
        <f t="shared" si="3"/>
        <v>0</v>
      </c>
      <c r="G34" s="279">
        <f t="shared" si="3"/>
        <v>0</v>
      </c>
      <c r="H34" s="279">
        <f t="shared" si="3"/>
        <v>0</v>
      </c>
      <c r="I34" s="269">
        <f t="shared" si="2"/>
        <v>3850</v>
      </c>
    </row>
    <row r="35" spans="1:9" ht="15.75" thickTop="1" x14ac:dyDescent="0.25"/>
    <row r="38" spans="1:9" x14ac:dyDescent="0.25">
      <c r="B38" s="272">
        <v>47.5</v>
      </c>
      <c r="C38" t="s">
        <v>300</v>
      </c>
      <c r="D38" t="s">
        <v>301</v>
      </c>
      <c r="E38" t="s">
        <v>155</v>
      </c>
      <c r="F38" t="s">
        <v>156</v>
      </c>
      <c r="G38" s="211" t="s">
        <v>157</v>
      </c>
    </row>
    <row r="39" spans="1:9" x14ac:dyDescent="0.25">
      <c r="B39" s="244" t="s">
        <v>308</v>
      </c>
      <c r="C39">
        <v>6</v>
      </c>
      <c r="D39">
        <v>6</v>
      </c>
      <c r="E39">
        <v>10</v>
      </c>
      <c r="F39">
        <v>4</v>
      </c>
    </row>
    <row r="40" spans="1:9" x14ac:dyDescent="0.25">
      <c r="B40" s="273"/>
      <c r="C40" s="272">
        <f>(C39*3)*B38</f>
        <v>855</v>
      </c>
      <c r="D40" s="272">
        <f>(3*D39)*B38</f>
        <v>855</v>
      </c>
      <c r="E40" s="272">
        <f>(E39*3)*B38</f>
        <v>1425</v>
      </c>
      <c r="F40" s="272">
        <f>(F39*3)*B38</f>
        <v>570</v>
      </c>
    </row>
    <row r="41" spans="1:9" x14ac:dyDescent="0.25">
      <c r="B41" s="272" t="s">
        <v>309</v>
      </c>
      <c r="D41">
        <v>3</v>
      </c>
      <c r="E41">
        <v>3</v>
      </c>
      <c r="F41">
        <v>4</v>
      </c>
      <c r="G41" s="211">
        <v>3</v>
      </c>
    </row>
    <row r="42" spans="1:9" x14ac:dyDescent="0.25">
      <c r="B42" s="272"/>
      <c r="D42" s="272">
        <f>(3*D41)*B38</f>
        <v>427.5</v>
      </c>
      <c r="E42" s="272">
        <f>(3*E41)*B38</f>
        <v>427.5</v>
      </c>
      <c r="F42" s="272">
        <f>(F41*3)*B38</f>
        <v>570</v>
      </c>
      <c r="G42" s="282">
        <f>(G41*3)*B38</f>
        <v>427.5</v>
      </c>
    </row>
    <row r="44" spans="1:9" x14ac:dyDescent="0.25">
      <c r="D44" s="272">
        <f>D40+D42</f>
        <v>1282.5</v>
      </c>
      <c r="E44" s="272">
        <f t="shared" ref="E44:G44" si="4">E40+E42</f>
        <v>1852.5</v>
      </c>
      <c r="F44" s="272">
        <f t="shared" si="4"/>
        <v>1140</v>
      </c>
      <c r="G44" s="282">
        <f t="shared" si="4"/>
        <v>427.5</v>
      </c>
    </row>
    <row r="46" spans="1:9" ht="15" customHeight="1" x14ac:dyDescent="0.25">
      <c r="A46" s="249" t="s">
        <v>302</v>
      </c>
      <c r="B46" s="244" t="s">
        <v>209</v>
      </c>
      <c r="C46" s="250"/>
      <c r="D46" s="251"/>
      <c r="E46" s="252">
        <v>494.79</v>
      </c>
      <c r="F46" s="275">
        <v>712.5</v>
      </c>
      <c r="G46" s="254">
        <f>O8</f>
        <v>570</v>
      </c>
      <c r="H46" s="254">
        <f>P8</f>
        <v>550.21</v>
      </c>
      <c r="I46" s="235">
        <f>SUM(E46:H46)</f>
        <v>2327.5</v>
      </c>
    </row>
    <row r="47" spans="1:9" ht="15" customHeight="1" x14ac:dyDescent="0.25">
      <c r="A47" s="249" t="s">
        <v>302</v>
      </c>
      <c r="B47" s="244" t="s">
        <v>209</v>
      </c>
      <c r="C47" s="250"/>
      <c r="D47" s="251"/>
      <c r="E47" s="252">
        <v>522.5</v>
      </c>
      <c r="F47" s="275">
        <v>712.5</v>
      </c>
      <c r="G47" s="254">
        <f>O9</f>
        <v>570</v>
      </c>
      <c r="H47" s="254">
        <f>P9</f>
        <v>550.21</v>
      </c>
      <c r="I47" s="235">
        <f t="shared" ref="I47:I48" si="5">SUM(E47:H47)</f>
        <v>2355.21</v>
      </c>
    </row>
    <row r="48" spans="1:9" ht="15" customHeight="1" x14ac:dyDescent="0.25">
      <c r="A48" s="249" t="s">
        <v>302</v>
      </c>
      <c r="B48" s="244" t="s">
        <v>209</v>
      </c>
      <c r="C48" s="250"/>
      <c r="D48" s="255"/>
      <c r="E48" s="252">
        <v>522.5</v>
      </c>
      <c r="F48" s="275">
        <v>712.5</v>
      </c>
      <c r="G48" s="254">
        <f>O12</f>
        <v>570</v>
      </c>
      <c r="H48" s="254">
        <f>P12</f>
        <v>550.21</v>
      </c>
      <c r="I48" s="235">
        <f t="shared" si="5"/>
        <v>2355.21</v>
      </c>
    </row>
    <row r="49" spans="9:9" x14ac:dyDescent="0.25">
      <c r="I49" s="235">
        <f>SUM(I46:I48)</f>
        <v>7037.92</v>
      </c>
    </row>
  </sheetData>
  <conditionalFormatting sqref="A1 C1:H1 A2:H2 A4:H34 I27">
    <cfRule type="containsText" dxfId="102" priority="26" operator="containsText" text="Dinheiro">
      <formula>NOT(ISERROR(SEARCH("Dinheiro",A1)))</formula>
    </cfRule>
  </conditionalFormatting>
  <conditionalFormatting sqref="A46:H48">
    <cfRule type="containsText" dxfId="101" priority="2" operator="containsText" text="Dinheiro">
      <formula>NOT(ISERROR(SEARCH("Dinheiro",A46)))</formula>
    </cfRule>
  </conditionalFormatting>
  <conditionalFormatting sqref="B39:B40">
    <cfRule type="containsText" dxfId="100" priority="3" operator="containsText" text="Dinheiro">
      <formula>NOT(ISERROR(SEARCH("Dinheiro",B39)))</formula>
    </cfRule>
  </conditionalFormatting>
  <conditionalFormatting sqref="N5:P19">
    <cfRule type="containsText" dxfId="99" priority="1" operator="containsText" text="Dinheiro">
      <formula>NOT(ISERROR(SEARCH("Dinheiro",N5)))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B3AD-1A48-4289-8283-2B1C9E92032C}">
  <sheetPr codeName="Planilha13"/>
  <dimension ref="A1:I10"/>
  <sheetViews>
    <sheetView workbookViewId="0">
      <selection activeCell="J10" sqref="J10"/>
    </sheetView>
  </sheetViews>
  <sheetFormatPr defaultRowHeight="15" x14ac:dyDescent="0.25"/>
  <cols>
    <col min="1" max="1" width="10.28515625" bestFit="1" customWidth="1"/>
    <col min="2" max="2" width="32" bestFit="1" customWidth="1"/>
    <col min="3" max="5" width="13.28515625" style="234" bestFit="1" customWidth="1"/>
    <col min="6" max="8" width="13.28515625" style="288" bestFit="1" customWidth="1"/>
    <col min="9" max="9" width="12.140625" style="234" bestFit="1" customWidth="1"/>
    <col min="10" max="10" width="10.5703125" bestFit="1" customWidth="1"/>
    <col min="11" max="12" width="10.7109375" bestFit="1" customWidth="1"/>
    <col min="16" max="16" width="10.5703125" bestFit="1" customWidth="1"/>
  </cols>
  <sheetData>
    <row r="1" spans="1:9" ht="14.25" customHeight="1" x14ac:dyDescent="0.25">
      <c r="C1" s="270">
        <v>45689</v>
      </c>
      <c r="D1" s="270">
        <v>45717</v>
      </c>
      <c r="E1" s="270">
        <v>45748</v>
      </c>
      <c r="F1" s="276">
        <v>45778</v>
      </c>
      <c r="G1" s="276">
        <v>45809</v>
      </c>
      <c r="H1" s="276">
        <v>45839</v>
      </c>
      <c r="I1" s="271" t="s">
        <v>295</v>
      </c>
    </row>
    <row r="2" spans="1:9" ht="29.25" customHeight="1" x14ac:dyDescent="0.25">
      <c r="A2" s="214"/>
      <c r="B2" s="214"/>
      <c r="C2" s="261" t="s">
        <v>294</v>
      </c>
      <c r="D2" s="261" t="s">
        <v>294</v>
      </c>
      <c r="E2" s="261" t="s">
        <v>294</v>
      </c>
      <c r="F2" s="277" t="s">
        <v>294</v>
      </c>
      <c r="G2" s="277" t="s">
        <v>294</v>
      </c>
      <c r="H2" s="277" t="s">
        <v>294</v>
      </c>
      <c r="I2" s="235"/>
    </row>
    <row r="3" spans="1:9" s="266" customFormat="1" ht="15" customHeight="1" x14ac:dyDescent="0.25">
      <c r="A3" s="226" t="s">
        <v>93</v>
      </c>
      <c r="B3" s="226" t="s">
        <v>2</v>
      </c>
      <c r="C3" s="265"/>
      <c r="D3" s="265"/>
      <c r="E3" s="265"/>
      <c r="F3" s="265"/>
      <c r="G3" s="265"/>
      <c r="H3" s="265"/>
      <c r="I3" s="269"/>
    </row>
    <row r="4" spans="1:9" x14ac:dyDescent="0.25">
      <c r="A4" t="s">
        <v>313</v>
      </c>
      <c r="B4" t="str">
        <f>VLOOKUP(A4,Planejamento2025[[#Data],[#Totals]],2,FALSE)</f>
        <v>Sorvetes Artesanais</v>
      </c>
      <c r="C4" s="234">
        <f>167.84+76.93</f>
        <v>244.77</v>
      </c>
      <c r="I4" s="234">
        <f>SUM(C4:H4)</f>
        <v>244.77</v>
      </c>
    </row>
    <row r="5" spans="1:9" x14ac:dyDescent="0.25">
      <c r="A5" t="s">
        <v>314</v>
      </c>
      <c r="B5" t="str">
        <f>VLOOKUP(A5,Planejamento2025[[#Data],[#Totals]],2,FALSE)</f>
        <v>Pães Especiais</v>
      </c>
      <c r="D5" s="234">
        <v>515.84</v>
      </c>
      <c r="I5" s="234">
        <f t="shared" ref="I5:I9" si="0">SUM(C5:H5)</f>
        <v>515.84</v>
      </c>
    </row>
    <row r="6" spans="1:9" x14ac:dyDescent="0.25">
      <c r="A6" t="s">
        <v>315</v>
      </c>
      <c r="B6" t="str">
        <f>VLOOKUP(A6,Planejamento2025[[#Data],[#Totals]],2,FALSE)</f>
        <v>Massas Folhadas</v>
      </c>
      <c r="E6" s="234">
        <f>710.87+18+39</f>
        <v>767.87</v>
      </c>
      <c r="I6" s="234">
        <f t="shared" si="0"/>
        <v>767.87</v>
      </c>
    </row>
    <row r="7" spans="1:9" x14ac:dyDescent="0.25">
      <c r="A7" t="s">
        <v>316</v>
      </c>
      <c r="B7" t="str">
        <f>VLOOKUP(A7,Planejamento2025[[#Data],[#Totals]],2,FALSE)</f>
        <v>Cafeteria</v>
      </c>
      <c r="E7" s="234">
        <f>132.19+114.9</f>
        <v>247.09</v>
      </c>
      <c r="I7" s="234">
        <f t="shared" si="0"/>
        <v>247.09</v>
      </c>
    </row>
    <row r="8" spans="1:9" x14ac:dyDescent="0.25">
      <c r="A8" t="s">
        <v>317</v>
      </c>
      <c r="B8" t="str">
        <f>VLOOKUP(A8,Planejamento2025[[#Data],[#Totals]],2,FALSE)</f>
        <v>Pizzas</v>
      </c>
      <c r="F8" s="288">
        <f>400.92+140</f>
        <v>540.92000000000007</v>
      </c>
      <c r="I8" s="234">
        <f t="shared" si="0"/>
        <v>540.92000000000007</v>
      </c>
    </row>
    <row r="9" spans="1:9" x14ac:dyDescent="0.25">
      <c r="A9" t="s">
        <v>318</v>
      </c>
      <c r="B9" t="str">
        <f>VLOOKUP(A9,Planejamento2025[[#Data],[#Totals]],2,FALSE)</f>
        <v>Massas Frescas e Molhos</v>
      </c>
      <c r="I9" s="234">
        <f t="shared" si="0"/>
        <v>0</v>
      </c>
    </row>
    <row r="10" spans="1:9" x14ac:dyDescent="0.25">
      <c r="A10" s="226"/>
      <c r="B10" s="226"/>
      <c r="C10" s="269"/>
      <c r="D10" s="269"/>
      <c r="E10" s="269"/>
      <c r="F10" s="269"/>
      <c r="G10" s="269"/>
      <c r="H10" s="269"/>
      <c r="I10" s="269">
        <f>SUM(I4:I9)</f>
        <v>2316.4899999999998</v>
      </c>
    </row>
  </sheetData>
  <conditionalFormatting sqref="A1 C1:H1">
    <cfRule type="containsText" dxfId="98" priority="1" operator="containsText" text="Dinheiro">
      <formula>NOT(ISERROR(SEARCH("Dinheiro",A1)))</formula>
    </cfRule>
  </conditionalFormatting>
  <conditionalFormatting sqref="A2:H3">
    <cfRule type="containsText" dxfId="97" priority="5" operator="containsText" text="Dinheiro">
      <formula>NOT(ISERROR(SEARCH("Dinheiro",A2)))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A539-CF08-423B-91CC-8E80B4F53A7A}">
  <sheetPr codeName="Planilha2"/>
  <dimension ref="A1:B13"/>
  <sheetViews>
    <sheetView showGridLines="0" workbookViewId="0">
      <selection sqref="A1:N13"/>
    </sheetView>
  </sheetViews>
  <sheetFormatPr defaultRowHeight="15" x14ac:dyDescent="0.25"/>
  <cols>
    <col min="1" max="1" width="16.28515625" customWidth="1"/>
    <col min="2" max="2" width="17.140625" style="49" customWidth="1"/>
  </cols>
  <sheetData>
    <row r="1" spans="1:2" ht="15.75" thickBot="1" x14ac:dyDescent="0.3">
      <c r="A1" s="456" t="s">
        <v>218</v>
      </c>
      <c r="B1" s="458"/>
    </row>
    <row r="2" spans="1:2" ht="15.75" thickBot="1" x14ac:dyDescent="0.3"/>
    <row r="3" spans="1:2" ht="15.75" thickBot="1" x14ac:dyDescent="0.3">
      <c r="A3" s="149" t="s">
        <v>220</v>
      </c>
      <c r="B3" s="198" t="e">
        <f>Planejamento!#REF!</f>
        <v>#REF!</v>
      </c>
    </row>
    <row r="4" spans="1:2" ht="15.75" thickBot="1" x14ac:dyDescent="0.3">
      <c r="A4" s="148"/>
      <c r="B4" s="197"/>
    </row>
    <row r="5" spans="1:2" ht="15.75" thickBot="1" x14ac:dyDescent="0.3">
      <c r="A5" s="149" t="s">
        <v>219</v>
      </c>
      <c r="B5" s="194" t="e">
        <f>Planejamento2025[[#Totals],[Capac. Máx.]]+Planejamento!#REF!</f>
        <v>#REF!</v>
      </c>
    </row>
    <row r="6" spans="1:2" ht="15.75" thickBot="1" x14ac:dyDescent="0.3"/>
    <row r="7" spans="1:2" ht="15.75" thickBot="1" x14ac:dyDescent="0.3">
      <c r="A7" s="456" t="s">
        <v>224</v>
      </c>
      <c r="B7" s="458"/>
    </row>
    <row r="8" spans="1:2" x14ac:dyDescent="0.25">
      <c r="A8" s="195" t="s">
        <v>15</v>
      </c>
      <c r="B8" s="196"/>
    </row>
    <row r="9" spans="1:2" x14ac:dyDescent="0.25">
      <c r="A9" s="195" t="s">
        <v>223</v>
      </c>
      <c r="B9" s="196" t="e">
        <f>COUNTIFS(Planejamento!$AD$2:$AD$81,Planilha1!$A$8,Planejamento!#REF!,Planilha1!$A$8)</f>
        <v>#REF!</v>
      </c>
    </row>
    <row r="10" spans="1:2" x14ac:dyDescent="0.25">
      <c r="A10" s="195" t="s">
        <v>222</v>
      </c>
      <c r="B10" s="196" t="e">
        <f>COUNTIFS(Planejamento!$AD$2:$AD$81,Planilha1!$A$12,Planejamento!#REF!,Planilha1!$A$8)</f>
        <v>#REF!</v>
      </c>
    </row>
    <row r="11" spans="1:2" x14ac:dyDescent="0.25">
      <c r="A11" s="195"/>
      <c r="B11" s="196"/>
    </row>
    <row r="12" spans="1:2" ht="15.75" thickBot="1" x14ac:dyDescent="0.3">
      <c r="A12" s="195" t="s">
        <v>5</v>
      </c>
      <c r="B12" s="196" t="e">
        <f>COUNTIF(Planejamento!#REF!,Planilha1!A12)</f>
        <v>#REF!</v>
      </c>
    </row>
    <row r="13" spans="1:2" ht="15.75" thickBot="1" x14ac:dyDescent="0.3">
      <c r="A13" s="149" t="s">
        <v>221</v>
      </c>
      <c r="B13" s="194" t="e">
        <f>SUM(B8:B12)</f>
        <v>#REF!</v>
      </c>
    </row>
  </sheetData>
  <mergeCells count="2">
    <mergeCell ref="A7:B7"/>
    <mergeCell ref="A1:B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424A8-A4CE-4BAA-AA46-089DCA378C6F}">
  <sheetPr codeName="Planilha3">
    <pageSetUpPr fitToPage="1"/>
  </sheetPr>
  <dimension ref="A1:AD48"/>
  <sheetViews>
    <sheetView showGridLines="0" topLeftCell="A25" zoomScaleNormal="100" workbookViewId="0">
      <selection activeCell="C36" sqref="C36"/>
    </sheetView>
  </sheetViews>
  <sheetFormatPr defaultRowHeight="15" x14ac:dyDescent="0.25"/>
  <cols>
    <col min="1" max="1" width="7.5703125" style="4" customWidth="1"/>
    <col min="2" max="2" width="28.140625" style="4" customWidth="1"/>
    <col min="3" max="3" width="7.7109375" style="48" customWidth="1"/>
    <col min="4" max="4" width="15.140625" style="4" customWidth="1"/>
    <col min="5" max="6" width="17" style="4" customWidth="1"/>
    <col min="7" max="7" width="8.28515625" style="3" customWidth="1"/>
    <col min="8" max="8" width="8.7109375" style="16" hidden="1" customWidth="1"/>
    <col min="9" max="13" width="4.5703125" style="3" customWidth="1"/>
    <col min="14" max="14" width="11.7109375" style="3" hidden="1" customWidth="1"/>
    <col min="15" max="16" width="7.42578125" style="3" customWidth="1"/>
    <col min="17" max="17" width="4.5703125" style="3" customWidth="1"/>
    <col min="18" max="18" width="7.28515625" style="133" customWidth="1"/>
    <col min="19" max="19" width="6.5703125" style="3" customWidth="1"/>
    <col min="20" max="20" width="9.42578125" style="3" customWidth="1"/>
    <col min="21" max="21" width="10.42578125" style="3" customWidth="1"/>
    <col min="22" max="22" width="7.85546875" style="3" customWidth="1"/>
    <col min="23" max="23" width="10.28515625" style="2" customWidth="1"/>
    <col min="24" max="24" width="19.140625" style="1" customWidth="1"/>
    <col min="25" max="25" width="14.140625" style="40" customWidth="1"/>
    <col min="26" max="26" width="10.42578125" style="1" customWidth="1"/>
    <col min="27" max="27" width="12.28515625" style="1" customWidth="1"/>
    <col min="28" max="28" width="10.140625" customWidth="1"/>
    <col min="30" max="30" width="13.28515625" bestFit="1" customWidth="1"/>
  </cols>
  <sheetData>
    <row r="1" spans="1:28" ht="28.5" x14ac:dyDescent="0.25">
      <c r="A1" s="459" t="s">
        <v>75</v>
      </c>
      <c r="B1" s="459"/>
      <c r="C1" s="459"/>
      <c r="D1" s="459"/>
      <c r="E1" s="459"/>
      <c r="F1" s="459"/>
      <c r="G1" s="459"/>
      <c r="H1" s="459"/>
      <c r="I1" s="459"/>
      <c r="J1" s="459"/>
      <c r="K1" s="459"/>
      <c r="L1" s="459"/>
      <c r="M1" s="459"/>
      <c r="N1" s="459"/>
      <c r="O1" s="459"/>
      <c r="P1" s="459"/>
      <c r="Q1" s="459"/>
      <c r="R1" s="459"/>
      <c r="S1" s="459"/>
      <c r="T1" s="459"/>
      <c r="U1" s="459"/>
      <c r="V1" s="459"/>
      <c r="W1" s="459"/>
      <c r="X1" s="459"/>
      <c r="Y1" s="459"/>
      <c r="Z1" s="459"/>
      <c r="AA1" s="459"/>
      <c r="AB1" s="459"/>
    </row>
    <row r="2" spans="1:28" s="5" customFormat="1" ht="29.25" customHeight="1" x14ac:dyDescent="0.25">
      <c r="A2" s="17" t="s">
        <v>93</v>
      </c>
      <c r="B2" s="17" t="s">
        <v>2</v>
      </c>
      <c r="C2" s="12" t="s">
        <v>85</v>
      </c>
      <c r="D2" s="17" t="s">
        <v>80</v>
      </c>
      <c r="E2" s="17" t="s">
        <v>81</v>
      </c>
      <c r="F2" s="17" t="s">
        <v>22</v>
      </c>
      <c r="G2" s="18" t="s">
        <v>1</v>
      </c>
      <c r="H2" s="18" t="s">
        <v>6</v>
      </c>
      <c r="I2" s="19" t="s">
        <v>16</v>
      </c>
      <c r="J2" s="19" t="s">
        <v>17</v>
      </c>
      <c r="K2" s="19" t="s">
        <v>18</v>
      </c>
      <c r="L2" s="19" t="s">
        <v>19</v>
      </c>
      <c r="M2" s="19" t="s">
        <v>20</v>
      </c>
      <c r="N2" s="19" t="s">
        <v>99</v>
      </c>
      <c r="O2" s="19" t="s">
        <v>10</v>
      </c>
      <c r="P2" s="19" t="s">
        <v>11</v>
      </c>
      <c r="Q2" s="19" t="s">
        <v>7</v>
      </c>
      <c r="R2" s="129" t="s">
        <v>8</v>
      </c>
      <c r="S2" s="20" t="s">
        <v>0</v>
      </c>
      <c r="T2" s="20" t="s">
        <v>9</v>
      </c>
      <c r="U2" s="12" t="s">
        <v>3</v>
      </c>
      <c r="V2" s="12" t="s">
        <v>97</v>
      </c>
      <c r="W2" s="13" t="s">
        <v>12</v>
      </c>
      <c r="X2" s="13" t="s">
        <v>72</v>
      </c>
      <c r="Y2" s="13" t="s">
        <v>73</v>
      </c>
      <c r="Z2" s="12" t="s">
        <v>4</v>
      </c>
      <c r="AA2" s="14" t="s">
        <v>14</v>
      </c>
      <c r="AB2" s="10" t="s">
        <v>21</v>
      </c>
    </row>
    <row r="3" spans="1:28" ht="30" customHeight="1" x14ac:dyDescent="0.25">
      <c r="A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Q_AA</v>
      </c>
      <c r="B3" s="42" t="s">
        <v>77</v>
      </c>
      <c r="C3" s="47" t="s">
        <v>138</v>
      </c>
      <c r="D3" s="42" t="s">
        <v>76</v>
      </c>
      <c r="E3" s="42" t="s">
        <v>82</v>
      </c>
      <c r="F3" s="42" t="s">
        <v>185</v>
      </c>
      <c r="G3" s="43">
        <v>6.666666666666667</v>
      </c>
      <c r="H3" s="47"/>
      <c r="I3" s="43"/>
      <c r="J3" s="43" t="s">
        <v>100</v>
      </c>
      <c r="K3" s="43" t="s">
        <v>100</v>
      </c>
      <c r="L3" s="43" t="s">
        <v>100</v>
      </c>
      <c r="M3" s="43"/>
      <c r="N3" s="43" t="str">
        <f t="shared" ref="N3:N20" si="0">IF(I3="X","0","1")&amp;IF(J3="X","0","1")&amp;IF(K3="X","0","1")&amp;IF(L3="X","0","1")&amp;IF(M3="X","0","1")&amp;"11"</f>
        <v>1000111</v>
      </c>
      <c r="O3" s="43">
        <v>0.79166666666666663</v>
      </c>
      <c r="P3" s="43">
        <v>0.91666666666666663</v>
      </c>
      <c r="Q3" s="43">
        <f>Tabela1453[[#This Row],[Saída]]-Tabela1453[[#This Row],[Entrada]]</f>
        <v>0.125</v>
      </c>
      <c r="R3" s="130">
        <f>Tabela1453[[#This Row],[Carga Horária]]/Q3</f>
        <v>53.333333333333336</v>
      </c>
      <c r="S3" s="44">
        <v>45699</v>
      </c>
      <c r="T3" s="44">
        <f>WORKDAY.INTL(S3,R3,Tabela1453[[#This Row],[Padrão]],Calendário!$R$4:$R$35)</f>
        <v>45832</v>
      </c>
      <c r="U3" s="45"/>
      <c r="V3" s="46">
        <v>32</v>
      </c>
      <c r="W3" s="9">
        <v>47.5</v>
      </c>
      <c r="X3" s="51">
        <f>IF(Tabela1453[[#This Row],[Fonte Pagadora]]="Anna de Moura",(W3*G3*24),"-")</f>
        <v>7600</v>
      </c>
      <c r="Y3" s="9"/>
      <c r="Z3" s="45" t="s">
        <v>5</v>
      </c>
      <c r="AA3" s="45" t="s">
        <v>15</v>
      </c>
      <c r="AB3" s="9"/>
    </row>
    <row r="4" spans="1:28" ht="30" customHeight="1" x14ac:dyDescent="0.25">
      <c r="A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A_LG</v>
      </c>
      <c r="B4" s="42" t="s">
        <v>94</v>
      </c>
      <c r="C4" s="47"/>
      <c r="D4" s="42" t="s">
        <v>76</v>
      </c>
      <c r="E4" s="42" t="s">
        <v>83</v>
      </c>
      <c r="F4" s="42" t="s">
        <v>184</v>
      </c>
      <c r="G4" s="43">
        <v>6.666666666666667</v>
      </c>
      <c r="H4" s="47"/>
      <c r="I4" s="43"/>
      <c r="J4" s="43" t="s">
        <v>100</v>
      </c>
      <c r="K4" s="43" t="s">
        <v>100</v>
      </c>
      <c r="L4" s="43" t="s">
        <v>100</v>
      </c>
      <c r="M4" s="43"/>
      <c r="N4" s="43" t="str">
        <f t="shared" si="0"/>
        <v>1000111</v>
      </c>
      <c r="O4" s="43">
        <v>0.79166666666666663</v>
      </c>
      <c r="P4" s="43">
        <v>0.91666666666666663</v>
      </c>
      <c r="Q4" s="43">
        <f>Tabela1453[[#This Row],[Saída]]-Tabela1453[[#This Row],[Entrada]]</f>
        <v>0.125</v>
      </c>
      <c r="R4" s="130">
        <f>Tabela1453[[#This Row],[Carga Horária]]/Q4</f>
        <v>53.333333333333336</v>
      </c>
      <c r="S4" s="44">
        <v>45699</v>
      </c>
      <c r="T4" s="44">
        <f>WORKDAY.INTL(S4-1,R4,Tabela1453[[#This Row],[Padrão]],Calendário!$R$4:$R$35)</f>
        <v>45826</v>
      </c>
      <c r="U4" s="45"/>
      <c r="V4" s="46">
        <v>32</v>
      </c>
      <c r="W4" s="9">
        <v>47.5</v>
      </c>
      <c r="X4" s="51">
        <f>IF(Tabela1453[[#This Row],[Fonte Pagadora]]="Anna de Moura",(W4*G4*24),"-")</f>
        <v>7600</v>
      </c>
      <c r="Y4" s="41"/>
      <c r="Z4" s="45" t="s">
        <v>5</v>
      </c>
      <c r="AA4" s="45" t="s">
        <v>15</v>
      </c>
      <c r="AB4" s="9"/>
    </row>
    <row r="5" spans="1:28" ht="30" customHeight="1" x14ac:dyDescent="0.25">
      <c r="A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A_MP</v>
      </c>
      <c r="B5" s="42" t="s">
        <v>87</v>
      </c>
      <c r="C5" s="47" t="s">
        <v>137</v>
      </c>
      <c r="D5" s="42" t="s">
        <v>74</v>
      </c>
      <c r="E5" s="42" t="s">
        <v>83</v>
      </c>
      <c r="F5" s="42" t="s">
        <v>187</v>
      </c>
      <c r="G5" s="43">
        <v>1.3333333333333333</v>
      </c>
      <c r="H5" s="47"/>
      <c r="I5" s="43"/>
      <c r="J5" s="43" t="s">
        <v>139</v>
      </c>
      <c r="K5" s="43"/>
      <c r="L5" s="43" t="s">
        <v>139</v>
      </c>
      <c r="M5" s="43"/>
      <c r="N5" s="43" t="str">
        <f t="shared" si="0"/>
        <v>1010111</v>
      </c>
      <c r="O5" s="43">
        <v>0.79166666666666663</v>
      </c>
      <c r="P5" s="43">
        <v>0.91666666666666663</v>
      </c>
      <c r="Q5" s="43">
        <f>Tabela1453[[#This Row],[Saída]]-Tabela1453[[#This Row],[Entrada]]</f>
        <v>0.125</v>
      </c>
      <c r="R5" s="130">
        <v>11</v>
      </c>
      <c r="S5" s="44">
        <v>45783</v>
      </c>
      <c r="T5" s="44">
        <f>WORKDAY.INTL(S5-1,R5,Tabela1453[[#This Row],[Padrão]],Calendário!$R$4:$R$35)</f>
        <v>45818</v>
      </c>
      <c r="U5" s="45" t="s">
        <v>199</v>
      </c>
      <c r="V5" s="46">
        <v>16</v>
      </c>
      <c r="W5" s="9">
        <v>47.5</v>
      </c>
      <c r="X5" s="51">
        <f>IF(Tabela1453[[#This Row],[Fonte Pagadora]]="Anna de Moura",(W5*G5*24),"-")</f>
        <v>1520</v>
      </c>
      <c r="Y5" s="41"/>
      <c r="Z5" s="45" t="s">
        <v>5</v>
      </c>
      <c r="AA5" s="45" t="s">
        <v>15</v>
      </c>
      <c r="AB5" s="9"/>
    </row>
    <row r="6" spans="1:28" ht="30" customHeight="1" x14ac:dyDescent="0.25">
      <c r="A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_C1</v>
      </c>
      <c r="B6" s="42" t="s">
        <v>201</v>
      </c>
      <c r="C6" s="47"/>
      <c r="D6" s="42"/>
      <c r="E6" s="42"/>
      <c r="F6" s="42"/>
      <c r="G6" s="43">
        <v>0.625</v>
      </c>
      <c r="H6" s="47"/>
      <c r="I6" s="43"/>
      <c r="J6" s="43" t="s">
        <v>100</v>
      </c>
      <c r="K6" s="43" t="s">
        <v>100</v>
      </c>
      <c r="L6" s="43"/>
      <c r="M6" s="43"/>
      <c r="N6" s="43" t="str">
        <f t="shared" ref="N6:N9" si="1">IF(I6="X","0","1")&amp;IF(J6="X","0","1")&amp;IF(K6="X","0","1")&amp;IF(L6="X","0","1")&amp;IF(M6="X","0","1")&amp;"11"</f>
        <v>1001111</v>
      </c>
      <c r="O6" s="43">
        <v>0.79166666666666663</v>
      </c>
      <c r="P6" s="43">
        <v>0.91666666666666663</v>
      </c>
      <c r="Q6" s="43">
        <f>Tabela1453[[#This Row],[Saída]]-Tabela1453[[#This Row],[Entrada]]</f>
        <v>0.125</v>
      </c>
      <c r="R6" s="130">
        <f>Tabela1453[[#This Row],[Carga Horária]]/Q6</f>
        <v>5</v>
      </c>
      <c r="S6" s="44">
        <v>45699</v>
      </c>
      <c r="T6" s="44">
        <f>WORKDAY.INTL(S6-1,R6,Tabela1453[[#This Row],[Padrão]],Calendário!$R$4:$R$35)</f>
        <v>45713</v>
      </c>
      <c r="U6" s="45" t="s">
        <v>198</v>
      </c>
      <c r="V6" s="46">
        <v>18</v>
      </c>
      <c r="W6" s="9">
        <v>47.5</v>
      </c>
      <c r="X6" s="51">
        <f>IF(Tabela1453[[#This Row],[Fonte Pagadora]]="Anna de Moura",(W6*G6*24),"-")</f>
        <v>712.5</v>
      </c>
      <c r="Y6" s="41"/>
      <c r="Z6" s="45" t="s">
        <v>5</v>
      </c>
      <c r="AA6" s="45" t="s">
        <v>5</v>
      </c>
      <c r="AB6" s="9"/>
    </row>
    <row r="7" spans="1:28" ht="30" customHeight="1" x14ac:dyDescent="0.25">
      <c r="A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_C2</v>
      </c>
      <c r="B7" s="42" t="s">
        <v>202</v>
      </c>
      <c r="C7" s="47"/>
      <c r="D7" s="42"/>
      <c r="E7" s="42"/>
      <c r="F7" s="42"/>
      <c r="G7" s="43">
        <v>0.625</v>
      </c>
      <c r="H7" s="47"/>
      <c r="I7" s="43"/>
      <c r="J7" s="43" t="s">
        <v>100</v>
      </c>
      <c r="K7" s="43" t="s">
        <v>100</v>
      </c>
      <c r="L7" s="43"/>
      <c r="M7" s="43"/>
      <c r="N7" s="43" t="str">
        <f t="shared" si="1"/>
        <v>1001111</v>
      </c>
      <c r="O7" s="43">
        <v>0.79166666666666663</v>
      </c>
      <c r="P7" s="43">
        <v>0.91666666666666663</v>
      </c>
      <c r="Q7" s="43">
        <f>Tabela1453[[#This Row],[Saída]]-Tabela1453[[#This Row],[Entrada]]</f>
        <v>0.125</v>
      </c>
      <c r="R7" s="130">
        <f>Tabela1453[[#This Row],[Carga Horária]]/Q7</f>
        <v>5</v>
      </c>
      <c r="S7" s="44">
        <v>45721</v>
      </c>
      <c r="T7" s="44">
        <f>WORKDAY.INTL(S7-1,R7,Tabela1453[[#This Row],[Padrão]],Calendário!$R$4:$R$35)</f>
        <v>45735</v>
      </c>
      <c r="U7" s="45" t="s">
        <v>198</v>
      </c>
      <c r="V7" s="46">
        <v>18</v>
      </c>
      <c r="W7" s="9">
        <v>47.5</v>
      </c>
      <c r="X7" s="51">
        <f>IF(Tabela1453[[#This Row],[Fonte Pagadora]]="Anna de Moura",(W7*G7*24),"-")</f>
        <v>712.5</v>
      </c>
      <c r="Y7" s="41"/>
      <c r="Z7" s="45" t="s">
        <v>5</v>
      </c>
      <c r="AA7" s="45" t="s">
        <v>5</v>
      </c>
      <c r="AB7" s="9"/>
    </row>
    <row r="8" spans="1:28" ht="30" customHeight="1" x14ac:dyDescent="0.25">
      <c r="A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_C3</v>
      </c>
      <c r="B8" s="42" t="s">
        <v>203</v>
      </c>
      <c r="C8" s="47"/>
      <c r="D8" s="42"/>
      <c r="E8" s="42"/>
      <c r="F8" s="42"/>
      <c r="G8" s="43">
        <v>0.625</v>
      </c>
      <c r="H8" s="47"/>
      <c r="I8" s="43"/>
      <c r="J8" s="43" t="s">
        <v>100</v>
      </c>
      <c r="K8" s="43" t="s">
        <v>100</v>
      </c>
      <c r="L8" s="43"/>
      <c r="M8" s="43"/>
      <c r="N8" s="43" t="str">
        <f t="shared" si="1"/>
        <v>1001111</v>
      </c>
      <c r="O8" s="43">
        <v>0.79166666666666663</v>
      </c>
      <c r="P8" s="43">
        <v>0.91666666666666663</v>
      </c>
      <c r="Q8" s="43">
        <f>Tabela1453[[#This Row],[Saída]]-Tabela1453[[#This Row],[Entrada]]</f>
        <v>0.125</v>
      </c>
      <c r="R8" s="130">
        <f>Tabela1453[[#This Row],[Carga Horária]]/Q8</f>
        <v>5</v>
      </c>
      <c r="S8" s="44">
        <v>45742</v>
      </c>
      <c r="T8" s="44">
        <f>WORKDAY.INTL(S8-1,R8,Tabela1453[[#This Row],[Padrão]],Calendário!$R$4:$R$35)</f>
        <v>45756</v>
      </c>
      <c r="U8" s="45" t="s">
        <v>198</v>
      </c>
      <c r="V8" s="46">
        <v>18</v>
      </c>
      <c r="W8" s="9">
        <v>47.5</v>
      </c>
      <c r="X8" s="51">
        <f>IF(Tabela1453[[#This Row],[Fonte Pagadora]]="Anna de Moura",(W8*G8*24),"-")</f>
        <v>712.5</v>
      </c>
      <c r="Y8" s="41"/>
      <c r="Z8" s="45" t="s">
        <v>5</v>
      </c>
      <c r="AA8" s="45" t="s">
        <v>5</v>
      </c>
      <c r="AB8" s="9"/>
    </row>
    <row r="9" spans="1:28" ht="30" customHeight="1" x14ac:dyDescent="0.25">
      <c r="A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_C4</v>
      </c>
      <c r="B9" s="42" t="s">
        <v>204</v>
      </c>
      <c r="C9" s="47"/>
      <c r="D9" s="42"/>
      <c r="E9" s="42"/>
      <c r="F9" s="42"/>
      <c r="G9" s="43">
        <v>0.625</v>
      </c>
      <c r="H9" s="47"/>
      <c r="I9" s="43"/>
      <c r="J9" s="43" t="s">
        <v>100</v>
      </c>
      <c r="K9" s="43" t="s">
        <v>100</v>
      </c>
      <c r="L9" s="43"/>
      <c r="M9" s="43"/>
      <c r="N9" s="43" t="str">
        <f t="shared" si="1"/>
        <v>1001111</v>
      </c>
      <c r="O9" s="43">
        <v>0.79166666666666663</v>
      </c>
      <c r="P9" s="43">
        <v>0.91666666666666663</v>
      </c>
      <c r="Q9" s="43">
        <f>Tabela1453[[#This Row],[Saída]]-Tabela1453[[#This Row],[Entrada]]</f>
        <v>0.125</v>
      </c>
      <c r="R9" s="130">
        <f>Tabela1453[[#This Row],[Carga Horária]]/Q9</f>
        <v>5</v>
      </c>
      <c r="S9" s="44">
        <v>45763</v>
      </c>
      <c r="T9" s="44">
        <f>WORKDAY.INTL(S9-1,R9,Tabela1453[[#This Row],[Padrão]],Calendário!$R$4:$R$35)</f>
        <v>45777</v>
      </c>
      <c r="U9" s="45" t="s">
        <v>198</v>
      </c>
      <c r="V9" s="46">
        <v>18</v>
      </c>
      <c r="W9" s="9">
        <v>47.5</v>
      </c>
      <c r="X9" s="51">
        <f>IF(Tabela1453[[#This Row],[Fonte Pagadora]]="Anna de Moura",(W9*G9*24),"-")</f>
        <v>712.5</v>
      </c>
      <c r="Y9" s="41"/>
      <c r="Z9" s="45" t="s">
        <v>5</v>
      </c>
      <c r="AA9" s="45" t="s">
        <v>5</v>
      </c>
      <c r="AB9" s="9"/>
    </row>
    <row r="10" spans="1:28" ht="30" customHeight="1" x14ac:dyDescent="0.25">
      <c r="A10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_C5</v>
      </c>
      <c r="B10" s="42" t="s">
        <v>205</v>
      </c>
      <c r="C10" s="47"/>
      <c r="D10" s="42"/>
      <c r="E10" s="42"/>
      <c r="F10" s="42"/>
      <c r="G10" s="43">
        <v>0.625</v>
      </c>
      <c r="H10" s="47"/>
      <c r="I10" s="43"/>
      <c r="J10" s="43" t="s">
        <v>100</v>
      </c>
      <c r="K10" s="43" t="s">
        <v>100</v>
      </c>
      <c r="L10" s="43"/>
      <c r="M10" s="43"/>
      <c r="N10" s="43" t="str">
        <f t="shared" ref="N10:N11" si="2">IF(I10="X","0","1")&amp;IF(J10="X","0","1")&amp;IF(K10="X","0","1")&amp;IF(L10="X","0","1")&amp;IF(M10="X","0","1")&amp;"11"</f>
        <v>1001111</v>
      </c>
      <c r="O10" s="43">
        <v>0.79166666666666663</v>
      </c>
      <c r="P10" s="43">
        <v>0.91666666666666663</v>
      </c>
      <c r="Q10" s="43">
        <f>Tabela1453[[#This Row],[Saída]]-Tabela1453[[#This Row],[Entrada]]</f>
        <v>0.125</v>
      </c>
      <c r="R10" s="130">
        <f>Tabela1453[[#This Row],[Carga Horária]]/Q10</f>
        <v>5</v>
      </c>
      <c r="S10" s="44">
        <v>45784</v>
      </c>
      <c r="T10" s="44">
        <f>WORKDAY.INTL(S10-1,R10,Tabela1453[[#This Row],[Padrão]],Calendário!$R$4:$R$35)</f>
        <v>45798</v>
      </c>
      <c r="U10" s="45" t="s">
        <v>198</v>
      </c>
      <c r="V10" s="46">
        <v>18</v>
      </c>
      <c r="W10" s="9">
        <v>47.5</v>
      </c>
      <c r="X10" s="51">
        <f>IF(Tabela1453[[#This Row],[Fonte Pagadora]]="Anna de Moura",(W10*G10*24),"-")</f>
        <v>712.5</v>
      </c>
      <c r="Y10" s="41"/>
      <c r="Z10" s="45" t="s">
        <v>5</v>
      </c>
      <c r="AA10" s="45" t="s">
        <v>5</v>
      </c>
      <c r="AB10" s="9"/>
    </row>
    <row r="11" spans="1:28" ht="30" customHeight="1" x14ac:dyDescent="0.25">
      <c r="A1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_C6</v>
      </c>
      <c r="B11" s="42" t="s">
        <v>206</v>
      </c>
      <c r="C11" s="47"/>
      <c r="D11" s="42"/>
      <c r="E11" s="42"/>
      <c r="F11" s="42"/>
      <c r="G11" s="43">
        <v>0.625</v>
      </c>
      <c r="H11" s="47"/>
      <c r="I11" s="43"/>
      <c r="J11" s="43" t="s">
        <v>100</v>
      </c>
      <c r="K11" s="43" t="s">
        <v>100</v>
      </c>
      <c r="L11" s="43"/>
      <c r="M11" s="43"/>
      <c r="N11" s="43" t="str">
        <f t="shared" si="2"/>
        <v>1001111</v>
      </c>
      <c r="O11" s="43">
        <v>0.79166666666666663</v>
      </c>
      <c r="P11" s="43">
        <v>0.91666666666666663</v>
      </c>
      <c r="Q11" s="43">
        <f>Tabela1453[[#This Row],[Saída]]-Tabela1453[[#This Row],[Entrada]]</f>
        <v>0.125</v>
      </c>
      <c r="R11" s="130">
        <f>Tabela1453[[#This Row],[Carga Horária]]/Q11</f>
        <v>5</v>
      </c>
      <c r="S11" s="44">
        <v>45805</v>
      </c>
      <c r="T11" s="44">
        <f>WORKDAY.INTL(S11-1,R11,Tabela1453[[#This Row],[Padrão]],Calendário!$R$4:$R$35)</f>
        <v>45819</v>
      </c>
      <c r="U11" s="45" t="s">
        <v>198</v>
      </c>
      <c r="V11" s="46">
        <v>18</v>
      </c>
      <c r="W11" s="9">
        <v>47.5</v>
      </c>
      <c r="X11" s="51">
        <f>IF(Tabela1453[[#This Row],[Fonte Pagadora]]="Anna de Moura",(W11*G11*24),"-")</f>
        <v>712.5</v>
      </c>
      <c r="Y11" s="41"/>
      <c r="Z11" s="45" t="s">
        <v>5</v>
      </c>
      <c r="AA11" s="45" t="s">
        <v>5</v>
      </c>
      <c r="AB11" s="9"/>
    </row>
    <row r="12" spans="1:28" ht="30" customHeight="1" x14ac:dyDescent="0.25">
      <c r="A1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2" s="42" t="s">
        <v>78</v>
      </c>
      <c r="C12" s="47" t="s">
        <v>137</v>
      </c>
      <c r="D12" s="42" t="s">
        <v>74</v>
      </c>
      <c r="E12" s="42" t="s">
        <v>83</v>
      </c>
      <c r="F12" s="42" t="s">
        <v>188</v>
      </c>
      <c r="G12" s="43">
        <v>4</v>
      </c>
      <c r="H12" s="47"/>
      <c r="I12" s="43"/>
      <c r="J12" s="43" t="s">
        <v>139</v>
      </c>
      <c r="K12" s="43" t="s">
        <v>139</v>
      </c>
      <c r="L12" s="43" t="s">
        <v>139</v>
      </c>
      <c r="M12" s="43"/>
      <c r="N12" s="43" t="str">
        <f t="shared" si="0"/>
        <v>1000111</v>
      </c>
      <c r="O12" s="43">
        <v>0.79166666666666663</v>
      </c>
      <c r="P12" s="43">
        <v>0.91666666666666663</v>
      </c>
      <c r="Q12" s="43">
        <f>Tabela1453[[#This Row],[Saída]]-Tabela1453[[#This Row],[Entrada]]</f>
        <v>0.125</v>
      </c>
      <c r="R12" s="130">
        <f>Tabela1453[[#This Row],[Carga Horária]]/Q12</f>
        <v>32</v>
      </c>
      <c r="S12" s="44">
        <v>45699</v>
      </c>
      <c r="T12" s="44">
        <f>WORKDAY.INTL(S12-1,R12,Tabela1453[[#This Row],[Padrão]],Calendário!$R$4:$R$35)</f>
        <v>45776</v>
      </c>
      <c r="U12" s="45" t="s">
        <v>198</v>
      </c>
      <c r="V12" s="46">
        <v>16</v>
      </c>
      <c r="W12" s="9">
        <v>47.5</v>
      </c>
      <c r="X12" s="51">
        <f>IF(Tabela1453[[#This Row],[Fonte Pagadora]]="Anna de Moura",(W12*G12*24),"-")</f>
        <v>4560</v>
      </c>
      <c r="Y12" s="41"/>
      <c r="Z12" s="45" t="s">
        <v>5</v>
      </c>
      <c r="AA12" s="45" t="s">
        <v>15</v>
      </c>
      <c r="AB12" s="9"/>
    </row>
    <row r="13" spans="1:28" ht="30" customHeight="1" x14ac:dyDescent="0.25">
      <c r="A1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3" s="42" t="s">
        <v>78</v>
      </c>
      <c r="C13" s="47" t="s">
        <v>138</v>
      </c>
      <c r="D13" s="42" t="s">
        <v>74</v>
      </c>
      <c r="E13" s="42" t="s">
        <v>83</v>
      </c>
      <c r="F13" s="42" t="s">
        <v>188</v>
      </c>
      <c r="G13" s="43">
        <v>4</v>
      </c>
      <c r="H13" s="47"/>
      <c r="I13" s="43"/>
      <c r="J13" s="43" t="s">
        <v>100</v>
      </c>
      <c r="K13" s="43" t="s">
        <v>100</v>
      </c>
      <c r="L13" s="43" t="s">
        <v>100</v>
      </c>
      <c r="M13" s="43"/>
      <c r="N13" s="43" t="str">
        <f t="shared" si="0"/>
        <v>1000111</v>
      </c>
      <c r="O13" s="43">
        <v>0.625</v>
      </c>
      <c r="P13" s="43">
        <v>0.75</v>
      </c>
      <c r="Q13" s="43">
        <f>Tabela1453[[#This Row],[Saída]]-Tabela1453[[#This Row],[Entrada]]</f>
        <v>0.125</v>
      </c>
      <c r="R13" s="130">
        <f>Tabela1453[[#This Row],[Carga Horária]]/Q13</f>
        <v>32</v>
      </c>
      <c r="S13" s="44">
        <v>45699</v>
      </c>
      <c r="T13" s="44">
        <f>WORKDAY.INTL(S13-1,R13,Tabela1453[[#This Row],[Padrão]],Calendário!$R$4:$R$35)</f>
        <v>45776</v>
      </c>
      <c r="U13" s="45" t="s">
        <v>197</v>
      </c>
      <c r="V13" s="46">
        <v>16</v>
      </c>
      <c r="W13" s="9">
        <v>47.5</v>
      </c>
      <c r="X13" s="51">
        <f>IF(Tabela1453[[#This Row],[Fonte Pagadora]]="Anna de Moura",(W13*G13*24),"-")</f>
        <v>4560</v>
      </c>
      <c r="Y13" s="41"/>
      <c r="Z13" s="45" t="s">
        <v>5</v>
      </c>
      <c r="AA13" s="45" t="s">
        <v>15</v>
      </c>
      <c r="AB13" s="9"/>
    </row>
    <row r="14" spans="1:28" ht="30" customHeight="1" x14ac:dyDescent="0.25">
      <c r="A1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4" s="42" t="s">
        <v>79</v>
      </c>
      <c r="C14" s="47" t="s">
        <v>137</v>
      </c>
      <c r="D14" s="42" t="s">
        <v>74</v>
      </c>
      <c r="E14" s="42" t="s">
        <v>84</v>
      </c>
      <c r="F14" s="42" t="s">
        <v>189</v>
      </c>
      <c r="G14" s="43">
        <v>1.6666666666666667</v>
      </c>
      <c r="H14" s="47"/>
      <c r="I14" s="43"/>
      <c r="J14" s="43"/>
      <c r="K14" s="43"/>
      <c r="L14" s="43" t="s">
        <v>139</v>
      </c>
      <c r="M14" s="43"/>
      <c r="N14" s="43" t="str">
        <f t="shared" si="0"/>
        <v>1110111</v>
      </c>
      <c r="O14" s="43">
        <v>0.60416666666666663</v>
      </c>
      <c r="P14" s="43">
        <v>0.70833333333333337</v>
      </c>
      <c r="Q14" s="43">
        <f>Tabela1453[[#This Row],[Saída]]-Tabela1453[[#This Row],[Entrada]]</f>
        <v>0.10416666666666674</v>
      </c>
      <c r="R14" s="130">
        <f>Tabela1453[[#This Row],[Carga Horária]]/Q14</f>
        <v>15.999999999999989</v>
      </c>
      <c r="S14" s="44">
        <v>45699</v>
      </c>
      <c r="T14" s="44">
        <f>WORKDAY.INTL(S14-1,R14,Tabela1453[[#This Row],[Padrão]],Calendário!$R$4:$R$35)</f>
        <v>45813</v>
      </c>
      <c r="U14" s="45" t="s">
        <v>140</v>
      </c>
      <c r="V14" s="46">
        <v>14</v>
      </c>
      <c r="W14" s="9"/>
      <c r="X14" s="51">
        <f>IF(Tabela1453[[#This Row],[Fonte Pagadora]]="Anna de Moura",(W14*G14*24),"-")</f>
        <v>0</v>
      </c>
      <c r="Y14" s="41"/>
      <c r="Z14" s="45" t="s">
        <v>5</v>
      </c>
      <c r="AA14" s="45" t="s">
        <v>5</v>
      </c>
      <c r="AB14" s="9"/>
    </row>
    <row r="15" spans="1:28" ht="30" customHeight="1" x14ac:dyDescent="0.25">
      <c r="A1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5" s="42" t="s">
        <v>79</v>
      </c>
      <c r="C15" s="47" t="s">
        <v>138</v>
      </c>
      <c r="D15" s="42" t="s">
        <v>74</v>
      </c>
      <c r="E15" s="42" t="s">
        <v>84</v>
      </c>
      <c r="F15" s="42" t="s">
        <v>190</v>
      </c>
      <c r="G15" s="43">
        <v>2.5</v>
      </c>
      <c r="H15" s="47"/>
      <c r="I15" s="43"/>
      <c r="J15" s="43" t="s">
        <v>100</v>
      </c>
      <c r="K15" s="43" t="s">
        <v>100</v>
      </c>
      <c r="L15" s="43" t="s">
        <v>100</v>
      </c>
      <c r="M15" s="43"/>
      <c r="N15" s="43" t="str">
        <f t="shared" si="0"/>
        <v>1000111</v>
      </c>
      <c r="O15" s="43">
        <v>0.79166666666666663</v>
      </c>
      <c r="P15" s="43">
        <v>0.91666666666666663</v>
      </c>
      <c r="Q15" s="43">
        <f>Tabela1453[[#This Row],[Saída]]-Tabela1453[[#This Row],[Entrada]]</f>
        <v>0.125</v>
      </c>
      <c r="R15" s="130">
        <f>Tabela1453[[#This Row],[Carga Horária]]/Q15</f>
        <v>20</v>
      </c>
      <c r="S15" s="44">
        <v>45699</v>
      </c>
      <c r="T15" s="44">
        <f>WORKDAY.INTL(S15-1,R15,Tabela1453[[#This Row],[Padrão]],Calendário!$R$4:$R$35)</f>
        <v>45743</v>
      </c>
      <c r="U15" s="45" t="s">
        <v>198</v>
      </c>
      <c r="V15" s="46">
        <v>14</v>
      </c>
      <c r="W15" s="9">
        <v>47.5</v>
      </c>
      <c r="X15" s="51">
        <f>IF(Tabela1453[[#This Row],[Fonte Pagadora]]="Anna de Moura",(W15*G15*24),"-")</f>
        <v>2850</v>
      </c>
      <c r="Y15" s="41"/>
      <c r="Z15" s="45" t="s">
        <v>5</v>
      </c>
      <c r="AA15" s="45" t="s">
        <v>15</v>
      </c>
      <c r="AB15" s="9"/>
    </row>
    <row r="16" spans="1:28" ht="30" customHeight="1" x14ac:dyDescent="0.25">
      <c r="A16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I_L </v>
      </c>
      <c r="B16" s="136" t="s">
        <v>86</v>
      </c>
      <c r="C16" s="176"/>
      <c r="D16" s="136" t="s">
        <v>76</v>
      </c>
      <c r="E16" s="136" t="s">
        <v>84</v>
      </c>
      <c r="F16" s="136" t="s">
        <v>15</v>
      </c>
      <c r="G16" s="175">
        <v>1</v>
      </c>
      <c r="H16" s="176"/>
      <c r="I16" s="175"/>
      <c r="J16" s="175"/>
      <c r="K16" s="175"/>
      <c r="L16" s="175"/>
      <c r="M16" s="175"/>
      <c r="N16" s="175" t="str">
        <f>IF(I16="X","0","1")&amp;IF(J16="X","0","1")&amp;IF(K16="X","0","1")&amp;IF(L16="X","0","1")&amp;IF(M16="X","0","1")&amp;"11"</f>
        <v>1111111</v>
      </c>
      <c r="O16" s="175"/>
      <c r="P16" s="175"/>
      <c r="Q16" s="175">
        <f>Tabela1453[[#This Row],[Saída]]-Tabela1453[[#This Row],[Entrada]]</f>
        <v>0</v>
      </c>
      <c r="R16" s="177" t="e">
        <f>Tabela1453[[#This Row],[Carga Horária]]/Q16</f>
        <v>#DIV/0!</v>
      </c>
      <c r="S16" s="178"/>
      <c r="T16" s="44" t="e">
        <f>WORKDAY.INTL(S16-1,R16,Tabela1453[[#This Row],[Padrão]],Calendário!$R$4:$R$35)</f>
        <v>#NUM!</v>
      </c>
      <c r="U16" s="142"/>
      <c r="V16" s="179">
        <v>32</v>
      </c>
      <c r="W16" s="180"/>
      <c r="X16" s="183" t="str">
        <f>IF(Tabela1453[[#This Row],[Fonte Pagadora]]="Anna de Moura",(W16*G16*24),"-")</f>
        <v>-</v>
      </c>
      <c r="Y16" s="182"/>
      <c r="Z16" s="142" t="s">
        <v>15</v>
      </c>
      <c r="AA16" s="142" t="s">
        <v>15</v>
      </c>
      <c r="AB16" s="180"/>
    </row>
    <row r="17" spans="1:28" ht="30" customHeight="1" x14ac:dyDescent="0.25">
      <c r="A17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A_OL</v>
      </c>
      <c r="B17" s="136" t="s">
        <v>95</v>
      </c>
      <c r="C17" s="176"/>
      <c r="D17" s="136" t="s">
        <v>92</v>
      </c>
      <c r="E17" s="136" t="s">
        <v>83</v>
      </c>
      <c r="F17" s="136" t="s">
        <v>15</v>
      </c>
      <c r="G17" s="175">
        <v>6.666666666666667</v>
      </c>
      <c r="H17" s="176"/>
      <c r="I17" s="175"/>
      <c r="J17" s="175"/>
      <c r="K17" s="175"/>
      <c r="L17" s="175"/>
      <c r="M17" s="175"/>
      <c r="N17" s="175" t="str">
        <f t="shared" si="0"/>
        <v>1111111</v>
      </c>
      <c r="O17" s="175"/>
      <c r="P17" s="175"/>
      <c r="Q17" s="175">
        <f>Tabela1453[[#This Row],[Saída]]-Tabela1453[[#This Row],[Entrada]]</f>
        <v>0</v>
      </c>
      <c r="R17" s="177" t="e">
        <f>Tabela1453[[#This Row],[Carga Horária]]/Q17</f>
        <v>#DIV/0!</v>
      </c>
      <c r="S17" s="178"/>
      <c r="T17" s="44" t="e">
        <f>WORKDAY.INTL(S17-1,R17,Tabela1453[[#This Row],[Padrão]],Calendário!$R$4:$R$35)</f>
        <v>#NUM!</v>
      </c>
      <c r="U17" s="142"/>
      <c r="V17" s="179">
        <v>32</v>
      </c>
      <c r="W17" s="180">
        <v>47.5</v>
      </c>
      <c r="X17" s="181" t="str">
        <f>IF(Tabela1453[[#This Row],[Fonte Pagadora]]="Anna de Moura",(W17*G17*24),"-")</f>
        <v>-</v>
      </c>
      <c r="Y17" s="182"/>
      <c r="Z17" s="142" t="s">
        <v>15</v>
      </c>
      <c r="AA17" s="142" t="s">
        <v>15</v>
      </c>
      <c r="AB17" s="180"/>
    </row>
    <row r="18" spans="1:28" ht="30" customHeight="1" x14ac:dyDescent="0.25">
      <c r="A18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Q_EI</v>
      </c>
      <c r="B18" s="136" t="s">
        <v>88</v>
      </c>
      <c r="C18" s="176"/>
      <c r="D18" s="136" t="s">
        <v>90</v>
      </c>
      <c r="E18" s="136" t="s">
        <v>82</v>
      </c>
      <c r="F18" s="136" t="s">
        <v>15</v>
      </c>
      <c r="G18" s="175">
        <v>6.666666666666667</v>
      </c>
      <c r="H18" s="176"/>
      <c r="I18" s="175"/>
      <c r="J18" s="175"/>
      <c r="K18" s="175"/>
      <c r="L18" s="175"/>
      <c r="M18" s="175"/>
      <c r="N18" s="175" t="str">
        <f t="shared" si="0"/>
        <v>1111111</v>
      </c>
      <c r="O18" s="175"/>
      <c r="P18" s="175"/>
      <c r="Q18" s="175">
        <f>Tabela1453[[#This Row],[Saída]]-Tabela1453[[#This Row],[Entrada]]</f>
        <v>0</v>
      </c>
      <c r="R18" s="177" t="e">
        <f>Tabela1453[[#This Row],[Carga Horária]]/Q18</f>
        <v>#DIV/0!</v>
      </c>
      <c r="S18" s="178"/>
      <c r="T18" s="44" t="e">
        <f>WORKDAY.INTL(S18-1,R18,Tabela1453[[#This Row],[Padrão]],Calendário!$R$4:$R$35)</f>
        <v>#NUM!</v>
      </c>
      <c r="U18" s="142"/>
      <c r="V18" s="179">
        <v>22</v>
      </c>
      <c r="W18" s="180">
        <v>47.5</v>
      </c>
      <c r="X18" s="181" t="str">
        <f>IF(Tabela1453[[#This Row],[Fonte Pagadora]]="Anna de Moura",(W18*G18*24),"-")</f>
        <v>-</v>
      </c>
      <c r="Y18" s="182"/>
      <c r="Z18" s="142" t="s">
        <v>15</v>
      </c>
      <c r="AA18" s="142" t="s">
        <v>15</v>
      </c>
      <c r="AB18" s="180"/>
    </row>
    <row r="19" spans="1:28" ht="30" customHeight="1" x14ac:dyDescent="0.25">
      <c r="A19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A_CE</v>
      </c>
      <c r="B19" s="136" t="s">
        <v>89</v>
      </c>
      <c r="C19" s="176"/>
      <c r="D19" s="136" t="s">
        <v>90</v>
      </c>
      <c r="E19" s="136" t="s">
        <v>83</v>
      </c>
      <c r="F19" s="136" t="s">
        <v>15</v>
      </c>
      <c r="G19" s="175">
        <v>5</v>
      </c>
      <c r="H19" s="176"/>
      <c r="I19" s="175"/>
      <c r="J19" s="175"/>
      <c r="K19" s="175"/>
      <c r="L19" s="175"/>
      <c r="M19" s="175"/>
      <c r="N19" s="175" t="str">
        <f t="shared" si="0"/>
        <v>1111111</v>
      </c>
      <c r="O19" s="175"/>
      <c r="P19" s="175"/>
      <c r="Q19" s="175">
        <f>Tabela1453[[#This Row],[Saída]]-Tabela1453[[#This Row],[Entrada]]</f>
        <v>0</v>
      </c>
      <c r="R19" s="177" t="e">
        <f>Tabela1453[[#This Row],[Carga Horária]]/Q19</f>
        <v>#DIV/0!</v>
      </c>
      <c r="S19" s="178"/>
      <c r="T19" s="44" t="e">
        <f>WORKDAY.INTL(S19-1,R19,Tabela1453[[#This Row],[Padrão]],Calendário!$R$4:$R$35)</f>
        <v>#NUM!</v>
      </c>
      <c r="U19" s="142"/>
      <c r="V19" s="179">
        <v>22</v>
      </c>
      <c r="W19" s="180">
        <v>47.5</v>
      </c>
      <c r="X19" s="181" t="str">
        <f>IF(Tabela1453[[#This Row],[Fonte Pagadora]]="Anna de Moura",(W19*G19*24),"-")</f>
        <v>-</v>
      </c>
      <c r="Y19" s="182"/>
      <c r="Z19" s="142" t="s">
        <v>15</v>
      </c>
      <c r="AA19" s="142" t="s">
        <v>15</v>
      </c>
      <c r="AB19" s="180"/>
    </row>
    <row r="20" spans="1:28" ht="30" customHeight="1" x14ac:dyDescent="0.25">
      <c r="A20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Q_IQ</v>
      </c>
      <c r="B20" s="136" t="s">
        <v>96</v>
      </c>
      <c r="C20" s="176"/>
      <c r="D20" s="136" t="s">
        <v>91</v>
      </c>
      <c r="E20" s="136" t="s">
        <v>82</v>
      </c>
      <c r="F20" s="136" t="s">
        <v>15</v>
      </c>
      <c r="G20" s="175">
        <v>6.666666666666667</v>
      </c>
      <c r="H20" s="176"/>
      <c r="I20" s="175"/>
      <c r="J20" s="175"/>
      <c r="K20" s="175"/>
      <c r="L20" s="175"/>
      <c r="M20" s="175"/>
      <c r="N20" s="175" t="str">
        <f t="shared" si="0"/>
        <v>1111111</v>
      </c>
      <c r="O20" s="175"/>
      <c r="P20" s="175"/>
      <c r="Q20" s="175">
        <f>Tabela1453[[#This Row],[Saída]]-Tabela1453[[#This Row],[Entrada]]</f>
        <v>0</v>
      </c>
      <c r="R20" s="177" t="e">
        <f>Tabela1453[[#This Row],[Carga Horária]]/Q20</f>
        <v>#DIV/0!</v>
      </c>
      <c r="S20" s="178"/>
      <c r="T20" s="44" t="e">
        <f>WORKDAY.INTL(S20-1,R20,Tabela1453[[#This Row],[Padrão]],Calendário!$R$4:$R$35)</f>
        <v>#NUM!</v>
      </c>
      <c r="U20" s="142"/>
      <c r="V20" s="179">
        <v>32</v>
      </c>
      <c r="W20" s="180">
        <v>47.5</v>
      </c>
      <c r="X20" s="181" t="str">
        <f>IF(Tabela1453[[#This Row],[Fonte Pagadora]]="Anna de Moura",(W20*G20*24),"-")</f>
        <v>-</v>
      </c>
      <c r="Y20" s="182"/>
      <c r="Z20" s="142" t="s">
        <v>15</v>
      </c>
      <c r="AA20" s="142" t="s">
        <v>15</v>
      </c>
      <c r="AB20" s="180"/>
    </row>
    <row r="21" spans="1:28" ht="30" customHeight="1" x14ac:dyDescent="0.25">
      <c r="A2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I_M </v>
      </c>
      <c r="B21" s="42" t="s">
        <v>141</v>
      </c>
      <c r="C21" s="47"/>
      <c r="D21" s="42" t="s">
        <v>179</v>
      </c>
      <c r="E21" s="42" t="s">
        <v>84</v>
      </c>
      <c r="F21" s="42" t="s">
        <v>191</v>
      </c>
      <c r="G21" s="43">
        <v>1.25</v>
      </c>
      <c r="H21" s="47"/>
      <c r="I21" s="43"/>
      <c r="J21" s="43" t="s">
        <v>100</v>
      </c>
      <c r="K21" s="43"/>
      <c r="L21" s="43"/>
      <c r="M21" s="43"/>
      <c r="N21" s="43" t="str">
        <f t="shared" ref="N21:N29" si="3">IF(I21="X","0","1")&amp;IF(J21="X","0","1")&amp;IF(K21="X","0","1")&amp;IF(L21="X","0","1")&amp;IF(M21="X","0","1")&amp;"11"</f>
        <v>1011111</v>
      </c>
      <c r="O21" s="43">
        <v>0.58333333333333337</v>
      </c>
      <c r="P21" s="43">
        <v>0.70833333333333337</v>
      </c>
      <c r="Q21" s="43">
        <f>Tabela1453[[#This Row],[Saída]]-Tabela1453[[#This Row],[Entrada]]</f>
        <v>0.125</v>
      </c>
      <c r="R21" s="130">
        <f>Tabela1453[[#This Row],[Carga Horária]]/Q21</f>
        <v>10</v>
      </c>
      <c r="S21" s="44">
        <v>45706</v>
      </c>
      <c r="T21" s="44">
        <f>WORKDAY.INTL(S21-1,R21,Tabela1453[[#This Row],[Padrão]],Calendário!$R$4:$R$35)</f>
        <v>45776</v>
      </c>
      <c r="U21" s="45" t="s">
        <v>198</v>
      </c>
      <c r="V21" s="46">
        <v>20</v>
      </c>
      <c r="W21" s="9">
        <v>47.5</v>
      </c>
      <c r="X21" s="51">
        <f>IF(Tabela1453[[#This Row],[Fonte Pagadora]]="Anna de Moura",(W21*G21*24),"-")</f>
        <v>1425</v>
      </c>
      <c r="Y21" s="41"/>
      <c r="Z21" s="45" t="s">
        <v>5</v>
      </c>
      <c r="AA21" s="45" t="s">
        <v>5</v>
      </c>
      <c r="AB21" s="9"/>
    </row>
    <row r="22" spans="1:28" ht="30" customHeight="1" x14ac:dyDescent="0.25">
      <c r="A2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I_DS</v>
      </c>
      <c r="B22" s="42" t="s">
        <v>148</v>
      </c>
      <c r="C22" s="47"/>
      <c r="D22" s="42" t="s">
        <v>179</v>
      </c>
      <c r="E22" s="42" t="s">
        <v>84</v>
      </c>
      <c r="F22" s="42" t="s">
        <v>191</v>
      </c>
      <c r="G22" s="43">
        <v>0.83333333333333337</v>
      </c>
      <c r="H22" s="47"/>
      <c r="I22" s="43"/>
      <c r="J22" s="43" t="s">
        <v>100</v>
      </c>
      <c r="K22" s="43"/>
      <c r="L22" s="43"/>
      <c r="M22" s="43"/>
      <c r="N22" s="43" t="str">
        <f t="shared" si="3"/>
        <v>1011111</v>
      </c>
      <c r="O22" s="43">
        <v>0.58333333333333337</v>
      </c>
      <c r="P22" s="43">
        <v>0.70833333333333337</v>
      </c>
      <c r="Q22" s="43">
        <f>Tabela1453[[#This Row],[Saída]]-Tabela1453[[#This Row],[Entrada]]</f>
        <v>0.125</v>
      </c>
      <c r="R22" s="130">
        <f>Tabela1453[[#This Row],[Carga Horária]]/Q22</f>
        <v>6.666666666666667</v>
      </c>
      <c r="S22" s="44">
        <v>45790</v>
      </c>
      <c r="T22" s="44">
        <f>WORKDAY.INTL(S22-1,R22,Tabela1453[[#This Row],[Padrão]],Calendário!$R$4:$R$35)</f>
        <v>45825</v>
      </c>
      <c r="U22" s="45" t="s">
        <v>198</v>
      </c>
      <c r="V22" s="46">
        <v>20</v>
      </c>
      <c r="W22" s="9">
        <v>47.5</v>
      </c>
      <c r="X22" s="51">
        <f>IF(Tabela1453[[#This Row],[Fonte Pagadora]]="Anna de Moura",(W22*G22*24),"-")</f>
        <v>950</v>
      </c>
      <c r="Y22" s="41"/>
      <c r="Z22" s="45" t="s">
        <v>5</v>
      </c>
      <c r="AA22" s="45" t="s">
        <v>5</v>
      </c>
      <c r="AB22" s="9"/>
    </row>
    <row r="23" spans="1:28" ht="30" customHeight="1" x14ac:dyDescent="0.25">
      <c r="A2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3" s="42" t="s">
        <v>145</v>
      </c>
      <c r="C23" s="47" t="s">
        <v>137</v>
      </c>
      <c r="D23" s="42" t="s">
        <v>180</v>
      </c>
      <c r="E23" s="42" t="s">
        <v>84</v>
      </c>
      <c r="F23" s="42" t="s">
        <v>192</v>
      </c>
      <c r="G23" s="43">
        <v>1.4583333333333333</v>
      </c>
      <c r="H23" s="47"/>
      <c r="I23" s="43"/>
      <c r="J23" s="43"/>
      <c r="K23" s="43"/>
      <c r="L23" s="43" t="s">
        <v>100</v>
      </c>
      <c r="M23" s="43"/>
      <c r="N23" s="43" t="str">
        <f t="shared" si="3"/>
        <v>1110111</v>
      </c>
      <c r="O23" s="134">
        <v>0.66666666666666663</v>
      </c>
      <c r="P23" s="134">
        <v>0.75</v>
      </c>
      <c r="Q23" s="43">
        <f>Tabela1453[[#This Row],[Saída]]-Tabela1453[[#This Row],[Entrada]]</f>
        <v>8.333333333333337E-2</v>
      </c>
      <c r="R23" s="130">
        <f>Tabela1453[[#This Row],[Carga Horária]]/Q23</f>
        <v>17.499999999999993</v>
      </c>
      <c r="S23" s="44">
        <v>45701</v>
      </c>
      <c r="T23" s="44">
        <f>WORKDAY.INTL(S23-1,R23,Tabela1453[[#This Row],[Padrão]],Calendário!$R$4:$R$35)</f>
        <v>45834</v>
      </c>
      <c r="U23" s="45" t="s">
        <v>151</v>
      </c>
      <c r="V23" s="46">
        <v>25</v>
      </c>
      <c r="W23" s="9">
        <v>47.5</v>
      </c>
      <c r="X23" s="51">
        <f>IF(Tabela1453[[#This Row],[Fonte Pagadora]]="Anna de Moura",(W23*G23*24),"-")</f>
        <v>1662.5</v>
      </c>
      <c r="Y23" s="41"/>
      <c r="Z23" s="45" t="s">
        <v>5</v>
      </c>
      <c r="AA23" s="45" t="s">
        <v>5</v>
      </c>
      <c r="AB23" s="9"/>
    </row>
    <row r="24" spans="1:28" ht="30" customHeight="1" x14ac:dyDescent="0.25">
      <c r="A2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4" s="42" t="s">
        <v>145</v>
      </c>
      <c r="C24" s="47" t="s">
        <v>138</v>
      </c>
      <c r="D24" s="42" t="s">
        <v>180</v>
      </c>
      <c r="E24" s="42" t="s">
        <v>84</v>
      </c>
      <c r="F24" s="42" t="s">
        <v>192</v>
      </c>
      <c r="G24" s="43">
        <v>1.4583333333333333</v>
      </c>
      <c r="H24" s="47"/>
      <c r="I24" s="43"/>
      <c r="J24" s="43"/>
      <c r="K24" s="43"/>
      <c r="L24" s="43" t="s">
        <v>100</v>
      </c>
      <c r="M24" s="43"/>
      <c r="N24" s="43" t="str">
        <f t="shared" si="3"/>
        <v>1110111</v>
      </c>
      <c r="O24" s="134">
        <v>0.79166666666666663</v>
      </c>
      <c r="P24" s="134">
        <v>0.875</v>
      </c>
      <c r="Q24" s="43">
        <f>Tabela1453[[#This Row],[Saída]]-Tabela1453[[#This Row],[Entrada]]</f>
        <v>8.333333333333337E-2</v>
      </c>
      <c r="R24" s="130">
        <f>Tabela1453[[#This Row],[Carga Horária]]/Q24</f>
        <v>17.499999999999993</v>
      </c>
      <c r="S24" s="44">
        <v>45701</v>
      </c>
      <c r="T24" s="44">
        <f>WORKDAY.INTL(S24-1,R24,Tabela1453[[#This Row],[Padrão]],Calendário!$R$4:$R$35)</f>
        <v>45834</v>
      </c>
      <c r="U24" s="45" t="s">
        <v>150</v>
      </c>
      <c r="V24" s="46">
        <v>25</v>
      </c>
      <c r="W24" s="9">
        <v>47.5</v>
      </c>
      <c r="X24" s="51">
        <f>IF(Tabela1453[[#This Row],[Fonte Pagadora]]="Anna de Moura",(W24*G24*24),"-")</f>
        <v>1662.5</v>
      </c>
      <c r="Y24" s="41"/>
      <c r="Z24" s="45" t="s">
        <v>5</v>
      </c>
      <c r="AA24" s="45" t="s">
        <v>5</v>
      </c>
      <c r="AB24" s="9"/>
    </row>
    <row r="25" spans="1:28" ht="30" customHeight="1" x14ac:dyDescent="0.25">
      <c r="A2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I_G </v>
      </c>
      <c r="B25" s="42" t="s">
        <v>149</v>
      </c>
      <c r="C25" s="47" t="s">
        <v>137</v>
      </c>
      <c r="D25" s="42" t="s">
        <v>179</v>
      </c>
      <c r="E25" s="42" t="s">
        <v>84</v>
      </c>
      <c r="F25" s="42" t="s">
        <v>193</v>
      </c>
      <c r="G25" s="43">
        <v>0.79166666666666663</v>
      </c>
      <c r="H25" s="47"/>
      <c r="I25" s="43"/>
      <c r="J25" s="43"/>
      <c r="K25" s="43" t="s">
        <v>100</v>
      </c>
      <c r="L25" s="43"/>
      <c r="M25" s="43"/>
      <c r="N25" s="43" t="str">
        <f t="shared" si="3"/>
        <v>1101111</v>
      </c>
      <c r="O25" s="43">
        <v>0.70833333333333337</v>
      </c>
      <c r="P25" s="43">
        <v>0.75</v>
      </c>
      <c r="Q25" s="43">
        <f>Tabela1453[[#This Row],[Saída]]-Tabela1453[[#This Row],[Entrada]]</f>
        <v>4.166666666666663E-2</v>
      </c>
      <c r="R25" s="130">
        <f>Tabela1453[[#This Row],[Carga Horária]]/Q25</f>
        <v>19.000000000000014</v>
      </c>
      <c r="S25" s="44">
        <v>45700</v>
      </c>
      <c r="T25" s="44">
        <f>WORKDAY.INTL(S25-1,R25,Tabela1453[[#This Row],[Padrão]],Calendário!$R$4:$R$35)</f>
        <v>45826</v>
      </c>
      <c r="U25" s="45" t="s">
        <v>198</v>
      </c>
      <c r="V25" s="46">
        <v>30</v>
      </c>
      <c r="W25" s="9">
        <v>47.5</v>
      </c>
      <c r="X25" s="51">
        <f>IF(Tabela1453[[#This Row],[Fonte Pagadora]]="Anna de Moura",(W25*G25*24),"-")</f>
        <v>902.5</v>
      </c>
      <c r="Y25" s="41"/>
      <c r="Z25" s="45" t="s">
        <v>5</v>
      </c>
      <c r="AA25" s="45" t="s">
        <v>5</v>
      </c>
      <c r="AB25" s="9"/>
    </row>
    <row r="26" spans="1:28" ht="30" customHeight="1" x14ac:dyDescent="0.25">
      <c r="A2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I_T </v>
      </c>
      <c r="B26" s="42" t="s">
        <v>152</v>
      </c>
      <c r="C26" s="47" t="s">
        <v>137</v>
      </c>
      <c r="D26" s="42" t="s">
        <v>181</v>
      </c>
      <c r="E26" s="42" t="s">
        <v>84</v>
      </c>
      <c r="F26" s="42" t="s">
        <v>194</v>
      </c>
      <c r="G26" s="43">
        <v>1.6666666666666667</v>
      </c>
      <c r="H26" s="47"/>
      <c r="I26" s="43"/>
      <c r="J26" s="43"/>
      <c r="K26" s="43" t="s">
        <v>100</v>
      </c>
      <c r="L26" s="43"/>
      <c r="M26" s="43"/>
      <c r="N26" s="43" t="str">
        <f t="shared" si="3"/>
        <v>1101111</v>
      </c>
      <c r="O26" s="43">
        <v>0.79166666666666663</v>
      </c>
      <c r="P26" s="43">
        <v>0.875</v>
      </c>
      <c r="Q26" s="43">
        <f>Tabela1453[[#This Row],[Saída]]-Tabela1453[[#This Row],[Entrada]]</f>
        <v>8.333333333333337E-2</v>
      </c>
      <c r="R26" s="130">
        <f>Tabela1453[[#This Row],[Carga Horária]]/Q26</f>
        <v>19.999999999999993</v>
      </c>
      <c r="S26" s="44">
        <v>45700</v>
      </c>
      <c r="T26" s="44">
        <f>WORKDAY.INTL(S26-1,R26,Tabela1453[[#This Row],[Padrão]],Calendário!$R$4:$R$35)</f>
        <v>45826</v>
      </c>
      <c r="U26" s="135"/>
      <c r="V26" s="46">
        <v>30</v>
      </c>
      <c r="W26" s="9">
        <v>47.5</v>
      </c>
      <c r="X26" s="51">
        <f>IF(Tabela1453[[#This Row],[Fonte Pagadora]]="Anna de Moura",(W26*G26*24),"-")</f>
        <v>1900</v>
      </c>
      <c r="Y26" s="41"/>
      <c r="Z26" s="45" t="s">
        <v>5</v>
      </c>
      <c r="AA26" s="45" t="s">
        <v>5</v>
      </c>
      <c r="AB26" s="9"/>
    </row>
    <row r="27" spans="1:28" ht="30" customHeight="1" x14ac:dyDescent="0.25">
      <c r="A2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7" s="42" t="s">
        <v>153</v>
      </c>
      <c r="C27" s="47"/>
      <c r="D27" s="42" t="s">
        <v>182</v>
      </c>
      <c r="E27" s="42" t="s">
        <v>84</v>
      </c>
      <c r="F27" s="42" t="s">
        <v>195</v>
      </c>
      <c r="G27" s="43">
        <v>3.3333333333333335</v>
      </c>
      <c r="H27" s="47"/>
      <c r="I27" s="43"/>
      <c r="J27" s="43" t="s">
        <v>100</v>
      </c>
      <c r="K27" s="43" t="s">
        <v>100</v>
      </c>
      <c r="L27" s="43"/>
      <c r="M27" s="43"/>
      <c r="N27" s="43" t="str">
        <f t="shared" si="3"/>
        <v>1001111</v>
      </c>
      <c r="O27" s="43">
        <v>0.625</v>
      </c>
      <c r="P27" s="43">
        <v>0.75</v>
      </c>
      <c r="Q27" s="43">
        <f>Tabela1453[[#This Row],[Saída]]-Tabela1453[[#This Row],[Entrada]]</f>
        <v>0.125</v>
      </c>
      <c r="R27" s="130">
        <f>Tabela1453[[#This Row],[Carga Horária]]/Q27</f>
        <v>26.666666666666668</v>
      </c>
      <c r="S27" s="44">
        <v>45699</v>
      </c>
      <c r="T27" s="44">
        <f>WORKDAY.INTL(S27-1,R27,Tabela1453[[#This Row],[Padrão]],Calendário!$R$4:$R$35)</f>
        <v>45790</v>
      </c>
      <c r="U27" s="45" t="s">
        <v>200</v>
      </c>
      <c r="V27" s="46">
        <v>32</v>
      </c>
      <c r="W27" s="9">
        <v>47.5</v>
      </c>
      <c r="X27" s="51">
        <f>IF(Tabela1453[[#This Row],[Fonte Pagadora]]="Anna de Moura",(W27*G27*24),"-")</f>
        <v>3800</v>
      </c>
      <c r="Y27" s="41"/>
      <c r="Z27" s="45" t="s">
        <v>5</v>
      </c>
      <c r="AA27" s="45" t="s">
        <v>5</v>
      </c>
      <c r="AB27" s="9"/>
    </row>
    <row r="28" spans="1:28" ht="30" customHeight="1" x14ac:dyDescent="0.25">
      <c r="A2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8" s="42" t="s">
        <v>153</v>
      </c>
      <c r="C28" s="47"/>
      <c r="D28" s="42" t="s">
        <v>182</v>
      </c>
      <c r="E28" s="42" t="s">
        <v>84</v>
      </c>
      <c r="F28" s="42" t="s">
        <v>195</v>
      </c>
      <c r="G28" s="43">
        <v>3.3333333333333335</v>
      </c>
      <c r="H28" s="47"/>
      <c r="I28" s="43"/>
      <c r="J28" s="43" t="s">
        <v>100</v>
      </c>
      <c r="K28" s="43" t="s">
        <v>100</v>
      </c>
      <c r="L28" s="43"/>
      <c r="M28" s="43"/>
      <c r="N28" s="43" t="str">
        <f t="shared" si="3"/>
        <v>1001111</v>
      </c>
      <c r="O28" s="43">
        <v>0.79166666666666663</v>
      </c>
      <c r="P28" s="43">
        <v>0.91666666666666663</v>
      </c>
      <c r="Q28" s="43">
        <f>Tabela1453[[#This Row],[Saída]]-Tabela1453[[#This Row],[Entrada]]</f>
        <v>0.125</v>
      </c>
      <c r="R28" s="130">
        <f>Tabela1453[[#This Row],[Carga Horária]]/Q28</f>
        <v>26.666666666666668</v>
      </c>
      <c r="S28" s="44">
        <v>45699</v>
      </c>
      <c r="T28" s="44">
        <f>WORKDAY.INTL(S28-1,R28,Tabela1453[[#This Row],[Padrão]],Calendário!$R$4:$R$35)</f>
        <v>45790</v>
      </c>
      <c r="U28" s="45" t="s">
        <v>199</v>
      </c>
      <c r="V28" s="46">
        <v>32</v>
      </c>
      <c r="W28" s="9">
        <v>47.5</v>
      </c>
      <c r="X28" s="51">
        <f>IF(Tabela1453[[#This Row],[Fonte Pagadora]]="Anna de Moura",(W28*G28*24),"-")</f>
        <v>3800</v>
      </c>
      <c r="Y28" s="41"/>
      <c r="Z28" s="45" t="s">
        <v>5</v>
      </c>
      <c r="AA28" s="45" t="s">
        <v>5</v>
      </c>
      <c r="AB28" s="9"/>
    </row>
    <row r="29" spans="1:28" s="148" customFormat="1" ht="30" customHeight="1" x14ac:dyDescent="0.25">
      <c r="A2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I_P </v>
      </c>
      <c r="B29" s="42" t="s">
        <v>178</v>
      </c>
      <c r="C29" s="47"/>
      <c r="D29" s="42" t="s">
        <v>76</v>
      </c>
      <c r="E29" s="42" t="s">
        <v>84</v>
      </c>
      <c r="F29" s="42" t="s">
        <v>188</v>
      </c>
      <c r="G29" s="43">
        <v>1.25</v>
      </c>
      <c r="H29" s="47"/>
      <c r="I29" s="43"/>
      <c r="J29" s="43" t="s">
        <v>100</v>
      </c>
      <c r="K29" s="43"/>
      <c r="L29" s="43" t="s">
        <v>100</v>
      </c>
      <c r="M29" s="43"/>
      <c r="N29" s="43" t="str">
        <f t="shared" si="3"/>
        <v>1010111</v>
      </c>
      <c r="O29" s="43">
        <v>0.79166666666666663</v>
      </c>
      <c r="P29" s="43">
        <v>0.91666666666666663</v>
      </c>
      <c r="Q29" s="43">
        <f>Tabela1453[[#This Row],[Saída]]-Tabela1453[[#This Row],[Entrada]]</f>
        <v>0.125</v>
      </c>
      <c r="R29" s="130">
        <f>Tabela1453[[#This Row],[Carga Horária]]/Q29</f>
        <v>10</v>
      </c>
      <c r="S29" s="44">
        <v>45783</v>
      </c>
      <c r="T29" s="44">
        <f>WORKDAY.INTL(S29-1,R29,Tabela1453[[#This Row],[Padrão]],Calendário!$R$4:$R$35)</f>
        <v>45813</v>
      </c>
      <c r="U29" s="45"/>
      <c r="V29" s="46">
        <v>20</v>
      </c>
      <c r="W29" s="9">
        <v>47.5</v>
      </c>
      <c r="X29" s="51">
        <f>IF(Tabela1453[[#This Row],[Fonte Pagadora]]="Anna de Moura",(W29*G29*24),"-")</f>
        <v>1425</v>
      </c>
      <c r="Y29" s="184"/>
      <c r="Z29" s="45" t="s">
        <v>5</v>
      </c>
      <c r="AA29" s="45" t="s">
        <v>5</v>
      </c>
      <c r="AB29" s="9"/>
    </row>
    <row r="30" spans="1:28" s="11" customFormat="1" ht="18.75" x14ac:dyDescent="0.3">
      <c r="A30" s="21" t="s">
        <v>13</v>
      </c>
      <c r="B30" s="21"/>
      <c r="C30" s="23"/>
      <c r="D30" s="21"/>
      <c r="E30" s="21"/>
      <c r="F30" s="21"/>
      <c r="G30" s="22"/>
      <c r="H30" s="23"/>
      <c r="I30" s="24"/>
      <c r="J30" s="22"/>
      <c r="K30" s="22"/>
      <c r="L30" s="22"/>
      <c r="M30" s="22"/>
      <c r="N30" s="22"/>
      <c r="O30" s="22"/>
      <c r="P30" s="22"/>
      <c r="Q30" s="22"/>
      <c r="R30" s="131"/>
      <c r="S30" s="25"/>
      <c r="T30" s="26"/>
      <c r="U30" s="22"/>
      <c r="V30" s="22">
        <f>SUBTOTAL(109,Tabela1453[Capac. Máx.])</f>
        <v>622</v>
      </c>
      <c r="W30" s="27"/>
      <c r="X30" s="52">
        <f>SUBTOTAL(109,Tabela1453[Valor Previsto])</f>
        <v>50492.5</v>
      </c>
      <c r="Y30" s="28"/>
      <c r="Z30" s="23"/>
      <c r="AA30" s="23"/>
      <c r="AB30" s="28"/>
    </row>
    <row r="31" spans="1:28" x14ac:dyDescent="0.25">
      <c r="G31" s="6"/>
      <c r="H31" s="15"/>
      <c r="I31" s="6"/>
      <c r="J31" s="6"/>
      <c r="K31" s="6"/>
      <c r="L31" s="6"/>
      <c r="M31" s="6"/>
      <c r="N31" s="6"/>
      <c r="O31" s="6"/>
      <c r="P31" s="6"/>
      <c r="Q31" s="6"/>
      <c r="R31" s="132"/>
      <c r="S31" s="6"/>
      <c r="T31" s="6"/>
      <c r="U31" s="6"/>
      <c r="V31" s="6"/>
      <c r="W31" s="7"/>
      <c r="X31" s="53">
        <f>BANDA!C73/2</f>
        <v>11827.5</v>
      </c>
      <c r="Y31" s="39"/>
      <c r="Z31" s="8"/>
      <c r="AA31" s="8"/>
    </row>
    <row r="32" spans="1:28" ht="30" customHeight="1" x14ac:dyDescent="0.25">
      <c r="G32" s="6"/>
      <c r="H32" s="15"/>
      <c r="I32" s="6"/>
      <c r="J32" s="6"/>
      <c r="K32" s="6"/>
      <c r="L32" s="6"/>
      <c r="M32" s="6"/>
      <c r="N32" s="6"/>
      <c r="O32" s="6"/>
      <c r="P32" s="6"/>
      <c r="Q32" s="6"/>
      <c r="R32" s="132"/>
      <c r="S32" s="6"/>
      <c r="T32" s="6"/>
      <c r="U32" s="6"/>
      <c r="V32" s="6"/>
      <c r="W32" s="7"/>
      <c r="X32" s="185">
        <f>Tabela1453[[#Totals],[Valor Previsto]]+X31</f>
        <v>62320</v>
      </c>
      <c r="Y32" s="39"/>
      <c r="Z32" s="8"/>
      <c r="AA32" s="8"/>
    </row>
    <row r="33" spans="1:30" x14ac:dyDescent="0.25">
      <c r="A33"/>
      <c r="B33"/>
      <c r="C33" s="49"/>
      <c r="D33"/>
      <c r="E33"/>
      <c r="F33"/>
      <c r="G33"/>
      <c r="H33" s="15"/>
      <c r="I33" s="6"/>
      <c r="J33" s="6"/>
      <c r="K33" s="6"/>
      <c r="L33" s="6"/>
      <c r="M33" s="6"/>
      <c r="N33" s="6"/>
      <c r="O33" s="6"/>
      <c r="P33" s="6"/>
      <c r="Q33" s="6"/>
      <c r="R33" s="132"/>
      <c r="S33" s="6"/>
      <c r="T33" s="6"/>
      <c r="U33" s="6"/>
      <c r="V33" s="6"/>
      <c r="W33" s="7"/>
      <c r="X33" s="54"/>
      <c r="Y33" s="39"/>
      <c r="Z33" s="8"/>
      <c r="AA33" s="8"/>
    </row>
    <row r="34" spans="1:30" x14ac:dyDescent="0.25">
      <c r="A34"/>
      <c r="B34"/>
      <c r="C34" s="49"/>
      <c r="D34"/>
      <c r="E34"/>
      <c r="F34"/>
      <c r="G34"/>
    </row>
    <row r="35" spans="1:30" x14ac:dyDescent="0.25">
      <c r="A35"/>
      <c r="B35"/>
      <c r="C35" s="49"/>
      <c r="D35"/>
      <c r="E35"/>
      <c r="F35"/>
      <c r="G35"/>
    </row>
    <row r="36" spans="1:30" x14ac:dyDescent="0.25">
      <c r="A36"/>
      <c r="B36"/>
      <c r="C36" s="49"/>
      <c r="D36"/>
      <c r="E36"/>
      <c r="F36"/>
      <c r="G36"/>
    </row>
    <row r="37" spans="1:30" x14ac:dyDescent="0.25">
      <c r="A37"/>
      <c r="B37"/>
      <c r="C37" s="49"/>
      <c r="D37"/>
      <c r="E37"/>
      <c r="F37"/>
      <c r="G37"/>
    </row>
    <row r="44" spans="1:30" s="226" customFormat="1" ht="30" customHeight="1" x14ac:dyDescent="0.25">
      <c r="A44" s="216"/>
      <c r="B44" s="228" t="s">
        <v>88</v>
      </c>
      <c r="C44" s="217" t="s">
        <v>138</v>
      </c>
      <c r="D44" s="217" t="s">
        <v>228</v>
      </c>
      <c r="E44" s="216" t="s">
        <v>90</v>
      </c>
      <c r="F44" s="216" t="s">
        <v>82</v>
      </c>
      <c r="G44" s="216" t="s">
        <v>246</v>
      </c>
      <c r="H44" s="218">
        <v>6.666666666666667</v>
      </c>
      <c r="I44" s="218"/>
      <c r="J44" s="218" t="s">
        <v>139</v>
      </c>
      <c r="K44" s="218" t="s">
        <v>139</v>
      </c>
      <c r="L44" s="218" t="s">
        <v>139</v>
      </c>
      <c r="M44" s="218"/>
      <c r="N44" s="218" t="str">
        <f>IF(I44="X","0","1")&amp;IF(J44="X","0","1")&amp;IF(K44="X","0","1")&amp;IF(L44="X","0","1")&amp;IF(M44="X","0","1")&amp;"11"</f>
        <v>1000111</v>
      </c>
      <c r="O44" s="218">
        <v>0.79166666666666663</v>
      </c>
      <c r="P44" s="218">
        <v>0.91666666666666663</v>
      </c>
      <c r="Q44" s="218">
        <f>Planejamento2025[[#This Row],[Saída]]-Planejamento2025[[#This Row],[Entrada]]</f>
        <v>0.125</v>
      </c>
      <c r="R44" s="219">
        <f>Planejamento2025[[#This Row],[Carga Horária]]/Q44</f>
        <v>13.333333333333334</v>
      </c>
      <c r="S44" s="220">
        <v>45825</v>
      </c>
      <c r="T44" s="220">
        <v>46007</v>
      </c>
      <c r="U44" s="221" t="s">
        <v>198</v>
      </c>
      <c r="V44" s="222">
        <v>16</v>
      </c>
      <c r="W44" s="223" t="s">
        <v>241</v>
      </c>
      <c r="X44" s="229" t="str">
        <f>IF(Planejamento2025[[#This Row],[Fonte Pagadora]]="Anna de Moura",(W44*H44*24),"-")</f>
        <v>-</v>
      </c>
      <c r="Y44" s="224"/>
      <c r="Z44" s="224"/>
      <c r="AA44" s="294"/>
      <c r="AB44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4" s="221" t="s">
        <v>15</v>
      </c>
      <c r="AD44" s="221" t="s">
        <v>15</v>
      </c>
    </row>
    <row r="45" spans="1:30" s="226" customFormat="1" ht="30" customHeight="1" x14ac:dyDescent="0.25">
      <c r="A45" s="216"/>
      <c r="B45" s="228" t="s">
        <v>249</v>
      </c>
      <c r="C45" s="217" t="s">
        <v>137</v>
      </c>
      <c r="D45" s="217" t="s">
        <v>230</v>
      </c>
      <c r="E45" s="216"/>
      <c r="F45" s="216" t="s">
        <v>82</v>
      </c>
      <c r="G45" s="216" t="s">
        <v>246</v>
      </c>
      <c r="H45" s="218">
        <v>6.666666666666667</v>
      </c>
      <c r="I45" s="218"/>
      <c r="J45" s="218" t="s">
        <v>100</v>
      </c>
      <c r="K45" s="218" t="s">
        <v>100</v>
      </c>
      <c r="L45" s="218"/>
      <c r="M45" s="218"/>
      <c r="N45" s="218" t="str">
        <f>IF(I45="X","0","1")&amp;IF(J45="X","0","1")&amp;IF(K45="X","0","1")&amp;IF(L45="X","0","1")&amp;IF(M45="X","0","1")&amp;"11"</f>
        <v>1001111</v>
      </c>
      <c r="O45" s="218">
        <v>0.58333333333333337</v>
      </c>
      <c r="P45" s="218">
        <v>0.70833333333333337</v>
      </c>
      <c r="Q45" s="218">
        <f>Planejamento2025[[#This Row],[Saída]]-Planejamento2025[[#This Row],[Entrada]]</f>
        <v>0.125</v>
      </c>
      <c r="R45" s="219">
        <f>Planejamento2025[[#This Row],[Carga Horária]]/Q45</f>
        <v>20</v>
      </c>
      <c r="S45" s="220">
        <v>45860</v>
      </c>
      <c r="T45" s="220">
        <v>46008</v>
      </c>
      <c r="U45" s="221" t="s">
        <v>199</v>
      </c>
      <c r="V45" s="222">
        <v>16</v>
      </c>
      <c r="W45" s="223"/>
      <c r="X45" s="229">
        <f>IF(Planejamento2025[[#This Row],[Fonte Pagadora]]="Anna de Moura",(W45*H45*24),"-")</f>
        <v>0</v>
      </c>
      <c r="Y45" s="224"/>
      <c r="Z45" s="224"/>
      <c r="AA45" s="294"/>
      <c r="AB45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5" s="221" t="s">
        <v>15</v>
      </c>
      <c r="AD45" s="221" t="s">
        <v>15</v>
      </c>
    </row>
    <row r="46" spans="1:30" s="201" customFormat="1" ht="30" customHeight="1" x14ac:dyDescent="0.25">
      <c r="A46" s="216"/>
      <c r="B46" s="228" t="s">
        <v>244</v>
      </c>
      <c r="C46" s="217" t="s">
        <v>137</v>
      </c>
      <c r="D46" s="217" t="s">
        <v>230</v>
      </c>
      <c r="E46" s="216" t="s">
        <v>90</v>
      </c>
      <c r="F46" s="216" t="s">
        <v>83</v>
      </c>
      <c r="G46" s="216" t="s">
        <v>246</v>
      </c>
      <c r="H46" s="218">
        <v>1</v>
      </c>
      <c r="I46" s="218" t="s">
        <v>100</v>
      </c>
      <c r="J46" s="218"/>
      <c r="K46" s="218" t="s">
        <v>100</v>
      </c>
      <c r="L46" s="218"/>
      <c r="M46" s="218" t="s">
        <v>100</v>
      </c>
      <c r="N46" s="218" t="str">
        <f>IF(I46="X","0","1")&amp;IF(J46="X","0","1")&amp;IF(K46="X","0","1")&amp;IF(L46="X","0","1")&amp;IF(M46="X","0","1")&amp;"11"</f>
        <v>0101011</v>
      </c>
      <c r="O46" s="218">
        <v>0.58333333333333337</v>
      </c>
      <c r="P46" s="218">
        <v>0.70833333333333337</v>
      </c>
      <c r="Q46" s="218">
        <f>Planejamento2025[[#This Row],[Saída]]-Planejamento2025[[#This Row],[Entrada]]</f>
        <v>8.333333333333337E-2</v>
      </c>
      <c r="R46" s="219">
        <f>Planejamento2025[[#This Row],[Carga Horária]]/Q46</f>
        <v>19.999999999999993</v>
      </c>
      <c r="S46" s="220">
        <v>45880</v>
      </c>
      <c r="T46" s="220">
        <v>45896</v>
      </c>
      <c r="U46" s="221" t="s">
        <v>198</v>
      </c>
      <c r="V46" s="222">
        <v>16</v>
      </c>
      <c r="W46" s="223" t="s">
        <v>241</v>
      </c>
      <c r="X46" s="229" t="e">
        <f>IF(Planejamento2025[[#This Row],[Fonte Pagadora]]="Anna de Moura",(W46*H46*24),"-")</f>
        <v>#VALUE!</v>
      </c>
      <c r="Y46" s="224"/>
      <c r="Z46" s="224"/>
      <c r="AA46" s="294"/>
      <c r="AB46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6" s="221" t="s">
        <v>15</v>
      </c>
      <c r="AD46" s="221" t="s">
        <v>15</v>
      </c>
    </row>
    <row r="47" spans="1:30" s="201" customFormat="1" ht="30" customHeight="1" x14ac:dyDescent="0.25">
      <c r="A47" s="216"/>
      <c r="B47" s="228" t="s">
        <v>243</v>
      </c>
      <c r="C47" s="217" t="s">
        <v>137</v>
      </c>
      <c r="D47" s="217" t="s">
        <v>230</v>
      </c>
      <c r="E47" s="216" t="s">
        <v>90</v>
      </c>
      <c r="F47" s="216" t="s">
        <v>83</v>
      </c>
      <c r="G47" s="216" t="s">
        <v>246</v>
      </c>
      <c r="H47" s="218">
        <v>0.66666666666666663</v>
      </c>
      <c r="I47" s="218" t="s">
        <v>100</v>
      </c>
      <c r="J47" s="218"/>
      <c r="K47" s="218" t="s">
        <v>100</v>
      </c>
      <c r="L47" s="218"/>
      <c r="M47" s="218"/>
      <c r="N47" s="218" t="str">
        <f>IF(I47="X","0","1")&amp;IF(J47="X","0","1")&amp;IF(K47="X","0","1")&amp;IF(L47="X","0","1")&amp;IF(M47="X","0","1")&amp;"11"</f>
        <v>0101111</v>
      </c>
      <c r="O47" s="218">
        <v>0.58333333333333337</v>
      </c>
      <c r="P47" s="218">
        <v>0.70833333333333337</v>
      </c>
      <c r="Q47" s="218">
        <f>Planejamento2025[[#This Row],[Saída]]-Planejamento2025[[#This Row],[Entrada]]</f>
        <v>8.333333333333337E-2</v>
      </c>
      <c r="R47" s="219">
        <f>Planejamento2025[[#This Row],[Carga Horária]]/Q47</f>
        <v>19.999999999999993</v>
      </c>
      <c r="S47" s="220">
        <v>45915</v>
      </c>
      <c r="T47" s="220">
        <v>45931</v>
      </c>
      <c r="U47" s="221" t="s">
        <v>198</v>
      </c>
      <c r="V47" s="222">
        <v>16</v>
      </c>
      <c r="W47" s="223" t="s">
        <v>241</v>
      </c>
      <c r="X47" s="229" t="e">
        <f>IF(Planejamento2025[[#This Row],[Fonte Pagadora]]="Anna de Moura",(W47*H47*24),"-")</f>
        <v>#VALUE!</v>
      </c>
      <c r="Y47" s="224"/>
      <c r="Z47" s="224"/>
      <c r="AA47" s="294"/>
      <c r="AB47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7" s="221" t="s">
        <v>15</v>
      </c>
      <c r="AD47" s="221" t="s">
        <v>15</v>
      </c>
    </row>
    <row r="48" spans="1:30" s="226" customFormat="1" ht="30" customHeight="1" x14ac:dyDescent="0.25">
      <c r="A48" s="216"/>
      <c r="B48" s="228" t="s">
        <v>245</v>
      </c>
      <c r="C48" s="217" t="s">
        <v>137</v>
      </c>
      <c r="D48" s="217" t="s">
        <v>230</v>
      </c>
      <c r="E48" s="216"/>
      <c r="F48" s="216" t="s">
        <v>82</v>
      </c>
      <c r="G48" s="216" t="s">
        <v>246</v>
      </c>
      <c r="H48" s="218">
        <v>6.666666666666667</v>
      </c>
      <c r="I48" s="218" t="s">
        <v>100</v>
      </c>
      <c r="J48" s="218" t="s">
        <v>100</v>
      </c>
      <c r="K48" s="218" t="s">
        <v>100</v>
      </c>
      <c r="L48" s="218" t="s">
        <v>100</v>
      </c>
      <c r="M48" s="218" t="s">
        <v>100</v>
      </c>
      <c r="N48" s="218" t="str">
        <f>IF(I48="X","0","1")&amp;IF(J48="X","0","1")&amp;IF(K48="X","0","1")&amp;IF(L48="X","0","1")&amp;IF(M48="X","0","1")&amp;"11"</f>
        <v>0000011</v>
      </c>
      <c r="O48" s="218">
        <v>0.58333333333333337</v>
      </c>
      <c r="P48" s="218">
        <v>0.70833333333333337</v>
      </c>
      <c r="Q48" s="218">
        <f>Planejamento2025[[#This Row],[Saída]]-Planejamento2025[[#This Row],[Entrada]]</f>
        <v>0.16666666666666674</v>
      </c>
      <c r="R48" s="219">
        <f>Planejamento2025[[#This Row],[Carga Horária]]/Q48</f>
        <v>14.999999999999993</v>
      </c>
      <c r="S48" s="220">
        <v>45936</v>
      </c>
      <c r="T48" s="220">
        <v>46010</v>
      </c>
      <c r="U48" s="221" t="s">
        <v>199</v>
      </c>
      <c r="V48" s="222">
        <v>16</v>
      </c>
      <c r="W48" s="223" t="s">
        <v>241</v>
      </c>
      <c r="X48" s="229" t="str">
        <f>IF(Planejamento2025[[#This Row],[Fonte Pagadora]]="Anna de Moura",(W48*H48*24),"-")</f>
        <v>-</v>
      </c>
      <c r="Y48" s="224"/>
      <c r="Z48" s="224"/>
      <c r="AA48" s="294"/>
      <c r="AB48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8" s="221" t="s">
        <v>15</v>
      </c>
      <c r="AD48" s="221" t="s">
        <v>15</v>
      </c>
    </row>
  </sheetData>
  <mergeCells count="1">
    <mergeCell ref="A1:AB1"/>
  </mergeCells>
  <phoneticPr fontId="23" type="noConversion"/>
  <conditionalFormatting sqref="AB44:AB48">
    <cfRule type="cellIs" dxfId="96" priority="1" operator="equal">
      <formula>"Cancelado"</formula>
    </cfRule>
    <cfRule type="cellIs" dxfId="95" priority="2" operator="equal">
      <formula>"Aguardando"</formula>
    </cfRule>
    <cfRule type="cellIs" dxfId="94" priority="3" operator="equal">
      <formula>"Finalizado"</formula>
    </cfRule>
    <cfRule type="cellIs" dxfId="93" priority="4" operator="equal">
      <formula>"Em andamento"</formula>
    </cfRule>
  </conditionalFormatting>
  <printOptions horizontalCentered="1"/>
  <pageMargins left="0.15748031496062992" right="0.11811023622047245" top="0.54" bottom="0.35433070866141736" header="0.15748031496062992" footer="0.11811023622047245"/>
  <pageSetup paperSize="9" scale="54" fitToHeight="0" orientation="landscape" r:id="rId1"/>
  <headerFooter scaleWithDoc="0" alignWithMargins="0">
    <oddHeader>&amp;C&amp;"-,Negrito"Instituto Anna de Moura - Fundação
CNPJ 44.297.075/0001-51</oddHead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45B02-CAB0-4709-AEFE-75711AA3D295}">
  <sheetPr codeName="Planilha4"/>
  <dimension ref="B1:S68"/>
  <sheetViews>
    <sheetView showGridLines="0" topLeftCell="A19" workbookViewId="0">
      <selection activeCell="K23" sqref="K23"/>
    </sheetView>
  </sheetViews>
  <sheetFormatPr defaultRowHeight="15" x14ac:dyDescent="0.25"/>
  <cols>
    <col min="1" max="1" width="2.7109375" customWidth="1"/>
    <col min="2" max="8" width="6.7109375" customWidth="1"/>
    <col min="9" max="9" width="4.7109375" customWidth="1"/>
    <col min="10" max="16" width="6.7109375" customWidth="1"/>
    <col min="17" max="17" width="2.7109375" customWidth="1"/>
    <col min="19" max="19" width="24.42578125" bestFit="1" customWidth="1"/>
    <col min="21" max="21" width="13.5703125" customWidth="1"/>
    <col min="22" max="22" width="4.42578125" bestFit="1" customWidth="1"/>
    <col min="23" max="23" width="3.85546875" bestFit="1" customWidth="1"/>
    <col min="24" max="24" width="4.28515625" bestFit="1" customWidth="1"/>
    <col min="25" max="25" width="3.85546875" bestFit="1" customWidth="1"/>
    <col min="26" max="26" width="3.28515625" bestFit="1" customWidth="1"/>
    <col min="27" max="27" width="3.7109375" bestFit="1" customWidth="1"/>
    <col min="28" max="28" width="4" bestFit="1" customWidth="1"/>
    <col min="29" max="29" width="4.28515625" bestFit="1" customWidth="1"/>
    <col min="30" max="30" width="4.140625" bestFit="1" customWidth="1"/>
    <col min="31" max="31" width="10.7109375" bestFit="1" customWidth="1"/>
  </cols>
  <sheetData>
    <row r="1" spans="2:19" ht="19.5" x14ac:dyDescent="0.3">
      <c r="B1" s="55" t="s">
        <v>101</v>
      </c>
      <c r="P1" s="56" t="s">
        <v>102</v>
      </c>
    </row>
    <row r="2" spans="2:19" x14ac:dyDescent="0.25">
      <c r="B2" s="57" t="s">
        <v>103</v>
      </c>
    </row>
    <row r="3" spans="2:19" ht="18.75" x14ac:dyDescent="0.3">
      <c r="B3" s="58"/>
      <c r="C3" s="59"/>
      <c r="D3" s="460" t="s">
        <v>104</v>
      </c>
      <c r="E3" s="461"/>
      <c r="F3" s="461"/>
      <c r="G3" s="59"/>
      <c r="H3" s="60"/>
      <c r="J3" s="61"/>
      <c r="K3" s="62"/>
      <c r="L3" s="462" t="s">
        <v>105</v>
      </c>
      <c r="M3" s="463"/>
      <c r="N3" s="463"/>
      <c r="O3" s="62"/>
      <c r="P3" s="63"/>
      <c r="R3" s="64" t="s">
        <v>106</v>
      </c>
      <c r="S3" s="65" t="s">
        <v>107</v>
      </c>
    </row>
    <row r="4" spans="2:19" x14ac:dyDescent="0.25">
      <c r="B4" s="66" t="s">
        <v>108</v>
      </c>
      <c r="C4" s="67" t="s">
        <v>16</v>
      </c>
      <c r="D4" s="67" t="s">
        <v>17</v>
      </c>
      <c r="E4" s="67" t="s">
        <v>18</v>
      </c>
      <c r="F4" s="67" t="s">
        <v>19</v>
      </c>
      <c r="G4" s="67" t="s">
        <v>20</v>
      </c>
      <c r="H4" s="68" t="s">
        <v>98</v>
      </c>
      <c r="J4" s="69" t="s">
        <v>108</v>
      </c>
      <c r="K4" s="70" t="s">
        <v>16</v>
      </c>
      <c r="L4" s="70" t="s">
        <v>17</v>
      </c>
      <c r="M4" s="70" t="s">
        <v>18</v>
      </c>
      <c r="N4" s="70" t="s">
        <v>19</v>
      </c>
      <c r="O4" s="70" t="s">
        <v>20</v>
      </c>
      <c r="P4" s="71" t="s">
        <v>98</v>
      </c>
      <c r="R4" s="72">
        <v>45658</v>
      </c>
      <c r="S4" t="s">
        <v>109</v>
      </c>
    </row>
    <row r="5" spans="2:19" x14ac:dyDescent="0.25">
      <c r="B5" s="73"/>
      <c r="C5" s="74"/>
      <c r="D5" s="75"/>
      <c r="E5" s="76">
        <v>45658</v>
      </c>
      <c r="F5" s="77">
        <v>45659</v>
      </c>
      <c r="G5" s="77">
        <v>45660</v>
      </c>
      <c r="H5" s="78">
        <v>45661</v>
      </c>
      <c r="J5" s="73"/>
      <c r="K5" s="74"/>
      <c r="L5" s="74"/>
      <c r="M5" s="74"/>
      <c r="N5" s="74"/>
      <c r="O5" s="75"/>
      <c r="P5" s="79">
        <v>45689</v>
      </c>
      <c r="R5" s="72">
        <v>45719</v>
      </c>
      <c r="S5" t="s">
        <v>110</v>
      </c>
    </row>
    <row r="6" spans="2:19" x14ac:dyDescent="0.25">
      <c r="B6" s="80">
        <v>45662</v>
      </c>
      <c r="C6" s="81">
        <v>45663</v>
      </c>
      <c r="D6" s="81">
        <v>45664</v>
      </c>
      <c r="E6" s="81">
        <v>45665</v>
      </c>
      <c r="F6" s="81">
        <v>45666</v>
      </c>
      <c r="G6" s="81">
        <v>45667</v>
      </c>
      <c r="H6" s="82">
        <v>45668</v>
      </c>
      <c r="J6" s="83">
        <v>45690</v>
      </c>
      <c r="K6" s="84">
        <v>45691</v>
      </c>
      <c r="L6" s="84">
        <v>45692</v>
      </c>
      <c r="M6" s="84">
        <v>45693</v>
      </c>
      <c r="N6" s="84">
        <v>45694</v>
      </c>
      <c r="O6" s="84">
        <v>45695</v>
      </c>
      <c r="P6" s="85">
        <v>45696</v>
      </c>
      <c r="R6" s="72">
        <v>45720</v>
      </c>
      <c r="S6" t="s">
        <v>111</v>
      </c>
    </row>
    <row r="7" spans="2:19" x14ac:dyDescent="0.25">
      <c r="B7" s="86">
        <v>45669</v>
      </c>
      <c r="C7" s="87">
        <v>45670</v>
      </c>
      <c r="D7" s="87">
        <v>45671</v>
      </c>
      <c r="E7" s="87">
        <v>45672</v>
      </c>
      <c r="F7" s="87">
        <v>45673</v>
      </c>
      <c r="G7" s="87">
        <v>45674</v>
      </c>
      <c r="H7" s="88">
        <v>45675</v>
      </c>
      <c r="J7" s="89">
        <v>45697</v>
      </c>
      <c r="K7" s="90">
        <v>45698</v>
      </c>
      <c r="L7" s="90">
        <v>45699</v>
      </c>
      <c r="M7" s="90">
        <v>45700</v>
      </c>
      <c r="N7" s="90">
        <v>45701</v>
      </c>
      <c r="O7" s="90">
        <v>45702</v>
      </c>
      <c r="P7" s="91">
        <v>45703</v>
      </c>
      <c r="R7" s="72">
        <v>45764</v>
      </c>
      <c r="S7" t="s">
        <v>207</v>
      </c>
    </row>
    <row r="8" spans="2:19" x14ac:dyDescent="0.25">
      <c r="B8" s="92">
        <v>45676</v>
      </c>
      <c r="C8" s="93">
        <v>45677</v>
      </c>
      <c r="D8" s="93">
        <v>45678</v>
      </c>
      <c r="E8" s="93">
        <v>45679</v>
      </c>
      <c r="F8" s="93">
        <v>45680</v>
      </c>
      <c r="G8" s="93">
        <v>45681</v>
      </c>
      <c r="H8" s="94">
        <v>45682</v>
      </c>
      <c r="J8" s="95">
        <v>45704</v>
      </c>
      <c r="K8" s="96">
        <v>45705</v>
      </c>
      <c r="L8" s="96">
        <v>45706</v>
      </c>
      <c r="M8" s="96">
        <v>45707</v>
      </c>
      <c r="N8" s="96">
        <v>45708</v>
      </c>
      <c r="O8" s="96">
        <v>45709</v>
      </c>
      <c r="P8" s="97">
        <v>45710</v>
      </c>
      <c r="R8" s="72">
        <v>45765</v>
      </c>
      <c r="S8" t="s">
        <v>112</v>
      </c>
    </row>
    <row r="9" spans="2:19" x14ac:dyDescent="0.25">
      <c r="B9" s="98">
        <v>45683</v>
      </c>
      <c r="C9" s="99">
        <v>45684</v>
      </c>
      <c r="D9" s="99">
        <v>45685</v>
      </c>
      <c r="E9" s="99">
        <v>45686</v>
      </c>
      <c r="F9" s="99">
        <v>45687</v>
      </c>
      <c r="G9" s="100">
        <v>45688</v>
      </c>
      <c r="H9" s="101"/>
      <c r="J9" s="102">
        <v>45711</v>
      </c>
      <c r="K9" s="103">
        <v>45712</v>
      </c>
      <c r="L9" s="103">
        <v>45713</v>
      </c>
      <c r="M9" s="103">
        <v>45714</v>
      </c>
      <c r="N9" s="103">
        <v>45715</v>
      </c>
      <c r="O9" s="104">
        <v>45716</v>
      </c>
      <c r="P9" s="101"/>
      <c r="R9" s="72">
        <v>45768</v>
      </c>
      <c r="S9" t="s">
        <v>113</v>
      </c>
    </row>
    <row r="10" spans="2:19" x14ac:dyDescent="0.25">
      <c r="B10" s="105"/>
      <c r="C10" s="105"/>
      <c r="D10" s="105"/>
      <c r="E10" s="105"/>
      <c r="F10" s="105"/>
      <c r="G10" s="105"/>
      <c r="H10" s="105"/>
      <c r="J10" s="106"/>
      <c r="K10" s="106"/>
      <c r="L10" s="106"/>
      <c r="M10" s="106"/>
      <c r="N10" s="106"/>
      <c r="O10" s="106"/>
      <c r="P10" s="106"/>
      <c r="R10" s="72">
        <v>45778</v>
      </c>
      <c r="S10" t="s">
        <v>114</v>
      </c>
    </row>
    <row r="11" spans="2:19" ht="18" x14ac:dyDescent="0.25">
      <c r="B11" s="61"/>
      <c r="C11" s="62"/>
      <c r="D11" s="462" t="s">
        <v>116</v>
      </c>
      <c r="E11" s="463"/>
      <c r="F11" s="463"/>
      <c r="G11" s="62"/>
      <c r="H11" s="63"/>
      <c r="J11" s="61"/>
      <c r="K11" s="62"/>
      <c r="L11" s="462" t="s">
        <v>117</v>
      </c>
      <c r="M11" s="463"/>
      <c r="N11" s="463"/>
      <c r="O11" s="62"/>
      <c r="P11" s="63"/>
      <c r="R11" s="72">
        <v>45827</v>
      </c>
      <c r="S11" t="s">
        <v>115</v>
      </c>
    </row>
    <row r="12" spans="2:19" x14ac:dyDescent="0.25">
      <c r="B12" s="69" t="s">
        <v>108</v>
      </c>
      <c r="C12" s="70" t="s">
        <v>16</v>
      </c>
      <c r="D12" s="70" t="s">
        <v>17</v>
      </c>
      <c r="E12" s="70" t="s">
        <v>18</v>
      </c>
      <c r="F12" s="70" t="s">
        <v>19</v>
      </c>
      <c r="G12" s="70" t="s">
        <v>20</v>
      </c>
      <c r="H12" s="71" t="s">
        <v>98</v>
      </c>
      <c r="J12" s="69" t="s">
        <v>108</v>
      </c>
      <c r="K12" s="70" t="s">
        <v>16</v>
      </c>
      <c r="L12" s="70" t="s">
        <v>17</v>
      </c>
      <c r="M12" s="70" t="s">
        <v>18</v>
      </c>
      <c r="N12" s="70" t="s">
        <v>19</v>
      </c>
      <c r="O12" s="70" t="s">
        <v>20</v>
      </c>
      <c r="P12" s="71" t="s">
        <v>98</v>
      </c>
      <c r="R12" s="72">
        <v>45839</v>
      </c>
      <c r="S12" t="s">
        <v>183</v>
      </c>
    </row>
    <row r="13" spans="2:19" x14ac:dyDescent="0.25">
      <c r="B13" s="73"/>
      <c r="C13" s="74"/>
      <c r="D13" s="74"/>
      <c r="E13" s="74"/>
      <c r="F13" s="74"/>
      <c r="G13" s="75"/>
      <c r="H13" s="79">
        <v>45717</v>
      </c>
      <c r="J13" s="73"/>
      <c r="K13" s="75"/>
      <c r="L13" s="107">
        <v>45748</v>
      </c>
      <c r="M13" s="108">
        <v>45749</v>
      </c>
      <c r="N13" s="108">
        <v>45750</v>
      </c>
      <c r="O13" s="108">
        <v>45751</v>
      </c>
      <c r="P13" s="109">
        <v>45752</v>
      </c>
      <c r="R13" s="72">
        <v>45840</v>
      </c>
      <c r="S13" t="s">
        <v>183</v>
      </c>
    </row>
    <row r="14" spans="2:19" x14ac:dyDescent="0.25">
      <c r="B14" s="83">
        <v>45718</v>
      </c>
      <c r="C14" s="110">
        <v>45719</v>
      </c>
      <c r="D14" s="110">
        <v>45720</v>
      </c>
      <c r="E14" s="84">
        <v>45721</v>
      </c>
      <c r="F14" s="84">
        <v>45722</v>
      </c>
      <c r="G14" s="84">
        <v>45723</v>
      </c>
      <c r="H14" s="85">
        <v>45724</v>
      </c>
      <c r="J14" s="83">
        <v>45753</v>
      </c>
      <c r="K14" s="84">
        <v>45754</v>
      </c>
      <c r="L14" s="84">
        <v>45755</v>
      </c>
      <c r="M14" s="84">
        <v>45756</v>
      </c>
      <c r="N14" s="84">
        <v>45757</v>
      </c>
      <c r="O14" s="84">
        <v>45758</v>
      </c>
      <c r="P14" s="85">
        <v>45759</v>
      </c>
      <c r="R14" s="72">
        <v>45841</v>
      </c>
      <c r="S14" t="s">
        <v>183</v>
      </c>
    </row>
    <row r="15" spans="2:19" x14ac:dyDescent="0.25">
      <c r="B15" s="89">
        <v>45725</v>
      </c>
      <c r="C15" s="90">
        <v>45726</v>
      </c>
      <c r="D15" s="90">
        <v>45727</v>
      </c>
      <c r="E15" s="90">
        <v>45728</v>
      </c>
      <c r="F15" s="90">
        <v>45729</v>
      </c>
      <c r="G15" s="90">
        <v>45730</v>
      </c>
      <c r="H15" s="91">
        <v>45731</v>
      </c>
      <c r="J15" s="89">
        <v>45760</v>
      </c>
      <c r="K15" s="90">
        <v>45761</v>
      </c>
      <c r="L15" s="90">
        <v>45762</v>
      </c>
      <c r="M15" s="90">
        <v>45763</v>
      </c>
      <c r="N15" s="90">
        <v>45764</v>
      </c>
      <c r="O15" s="111">
        <v>45765</v>
      </c>
      <c r="P15" s="91">
        <v>45766</v>
      </c>
      <c r="R15" s="72">
        <v>45842</v>
      </c>
      <c r="S15" t="s">
        <v>183</v>
      </c>
    </row>
    <row r="16" spans="2:19" x14ac:dyDescent="0.25">
      <c r="B16" s="89">
        <v>45732</v>
      </c>
      <c r="C16" s="90">
        <v>45733</v>
      </c>
      <c r="D16" s="90">
        <v>45734</v>
      </c>
      <c r="E16" s="90">
        <v>45735</v>
      </c>
      <c r="F16" s="90">
        <v>45736</v>
      </c>
      <c r="G16" s="90">
        <v>45737</v>
      </c>
      <c r="H16" s="91">
        <v>45738</v>
      </c>
      <c r="J16" s="95">
        <v>45767</v>
      </c>
      <c r="K16" s="112">
        <v>45768</v>
      </c>
      <c r="L16" s="96">
        <v>45769</v>
      </c>
      <c r="M16" s="96">
        <v>45770</v>
      </c>
      <c r="N16" s="96">
        <v>45771</v>
      </c>
      <c r="O16" s="96">
        <v>45772</v>
      </c>
      <c r="P16" s="97">
        <v>45773</v>
      </c>
      <c r="R16" s="72">
        <v>45843</v>
      </c>
      <c r="S16" t="s">
        <v>183</v>
      </c>
    </row>
    <row r="17" spans="2:19" x14ac:dyDescent="0.25">
      <c r="B17" s="95">
        <v>45739</v>
      </c>
      <c r="C17" s="96">
        <v>45740</v>
      </c>
      <c r="D17" s="96">
        <v>45741</v>
      </c>
      <c r="E17" s="96">
        <v>45742</v>
      </c>
      <c r="F17" s="96">
        <v>45743</v>
      </c>
      <c r="G17" s="96">
        <v>45744</v>
      </c>
      <c r="H17" s="97">
        <v>45745</v>
      </c>
      <c r="J17" s="102">
        <v>45774</v>
      </c>
      <c r="K17" s="103">
        <v>45775</v>
      </c>
      <c r="L17" s="103">
        <v>45776</v>
      </c>
      <c r="M17" s="104">
        <v>45777</v>
      </c>
      <c r="N17" s="113"/>
      <c r="O17" s="114"/>
      <c r="P17" s="115"/>
      <c r="R17" s="72">
        <v>45844</v>
      </c>
      <c r="S17" t="s">
        <v>183</v>
      </c>
    </row>
    <row r="18" spans="2:19" x14ac:dyDescent="0.25">
      <c r="B18" s="102">
        <v>45746</v>
      </c>
      <c r="C18" s="104">
        <v>45747</v>
      </c>
      <c r="D18" s="113"/>
      <c r="E18" s="114"/>
      <c r="F18" s="114"/>
      <c r="G18" s="114"/>
      <c r="H18" s="115"/>
      <c r="J18" s="106"/>
      <c r="K18" s="106"/>
      <c r="L18" s="106"/>
      <c r="M18" s="106"/>
      <c r="N18" s="106"/>
      <c r="O18" s="106"/>
      <c r="P18" s="106"/>
      <c r="R18" s="72">
        <v>45845</v>
      </c>
      <c r="S18" t="s">
        <v>183</v>
      </c>
    </row>
    <row r="19" spans="2:19" x14ac:dyDescent="0.25">
      <c r="B19" s="106"/>
      <c r="C19" s="106"/>
      <c r="D19" s="106"/>
      <c r="E19" s="106"/>
      <c r="F19" s="106"/>
      <c r="G19" s="106"/>
      <c r="H19" s="106"/>
      <c r="R19" s="72">
        <v>45846</v>
      </c>
      <c r="S19" t="s">
        <v>183</v>
      </c>
    </row>
    <row r="20" spans="2:19" ht="18" x14ac:dyDescent="0.25">
      <c r="B20" s="61"/>
      <c r="C20" s="62"/>
      <c r="D20" s="462" t="s">
        <v>127</v>
      </c>
      <c r="E20" s="463"/>
      <c r="F20" s="463"/>
      <c r="G20" s="62"/>
      <c r="H20" s="63"/>
      <c r="J20" s="61"/>
      <c r="K20" s="62"/>
      <c r="L20" s="462" t="s">
        <v>128</v>
      </c>
      <c r="M20" s="463"/>
      <c r="N20" s="463"/>
      <c r="O20" s="62"/>
      <c r="P20" s="63"/>
      <c r="R20" s="72">
        <v>45847</v>
      </c>
      <c r="S20" t="s">
        <v>118</v>
      </c>
    </row>
    <row r="21" spans="2:19" x14ac:dyDescent="0.25">
      <c r="B21" s="69" t="s">
        <v>108</v>
      </c>
      <c r="C21" s="70" t="s">
        <v>16</v>
      </c>
      <c r="D21" s="70" t="s">
        <v>17</v>
      </c>
      <c r="E21" s="70" t="s">
        <v>18</v>
      </c>
      <c r="F21" s="70" t="s">
        <v>19</v>
      </c>
      <c r="G21" s="70" t="s">
        <v>20</v>
      </c>
      <c r="H21" s="71" t="s">
        <v>98</v>
      </c>
      <c r="J21" s="69" t="s">
        <v>108</v>
      </c>
      <c r="K21" s="70" t="s">
        <v>16</v>
      </c>
      <c r="L21" s="70" t="s">
        <v>17</v>
      </c>
      <c r="M21" s="70" t="s">
        <v>18</v>
      </c>
      <c r="N21" s="70" t="s">
        <v>19</v>
      </c>
      <c r="O21" s="70" t="s">
        <v>20</v>
      </c>
      <c r="P21" s="71" t="s">
        <v>98</v>
      </c>
      <c r="R21" s="72">
        <v>45848</v>
      </c>
      <c r="S21" t="s">
        <v>183</v>
      </c>
    </row>
    <row r="22" spans="2:19" x14ac:dyDescent="0.25">
      <c r="B22" s="73"/>
      <c r="C22" s="74"/>
      <c r="D22" s="74"/>
      <c r="E22" s="75"/>
      <c r="F22" s="118">
        <v>45778</v>
      </c>
      <c r="G22" s="108">
        <v>45779</v>
      </c>
      <c r="H22" s="109">
        <v>45780</v>
      </c>
      <c r="J22" s="119">
        <v>45809</v>
      </c>
      <c r="K22" s="108">
        <v>45810</v>
      </c>
      <c r="L22" s="108">
        <v>45811</v>
      </c>
      <c r="M22" s="108">
        <v>45812</v>
      </c>
      <c r="N22" s="108">
        <v>45813</v>
      </c>
      <c r="O22" s="108">
        <v>45814</v>
      </c>
      <c r="P22" s="109">
        <v>45815</v>
      </c>
      <c r="R22" s="72">
        <v>45849</v>
      </c>
      <c r="S22" t="s">
        <v>183</v>
      </c>
    </row>
    <row r="23" spans="2:19" x14ac:dyDescent="0.25">
      <c r="B23" s="83">
        <v>45781</v>
      </c>
      <c r="C23" s="84">
        <v>45782</v>
      </c>
      <c r="D23" s="84">
        <v>45783</v>
      </c>
      <c r="E23" s="84">
        <v>45784</v>
      </c>
      <c r="F23" s="84">
        <v>45785</v>
      </c>
      <c r="G23" s="84">
        <v>45786</v>
      </c>
      <c r="H23" s="85">
        <v>45787</v>
      </c>
      <c r="J23" s="83">
        <v>45816</v>
      </c>
      <c r="K23" s="84">
        <v>45817</v>
      </c>
      <c r="L23" s="84">
        <v>45818</v>
      </c>
      <c r="M23" s="84">
        <v>45819</v>
      </c>
      <c r="N23" s="84">
        <v>45820</v>
      </c>
      <c r="O23" s="84">
        <v>45821</v>
      </c>
      <c r="P23" s="85">
        <v>45822</v>
      </c>
      <c r="R23" s="72">
        <v>45850</v>
      </c>
      <c r="S23" t="s">
        <v>183</v>
      </c>
    </row>
    <row r="24" spans="2:19" x14ac:dyDescent="0.25">
      <c r="B24" s="89">
        <v>45788</v>
      </c>
      <c r="C24" s="90">
        <v>45789</v>
      </c>
      <c r="D24" s="90">
        <v>45790</v>
      </c>
      <c r="E24" s="90">
        <v>45791</v>
      </c>
      <c r="F24" s="90">
        <v>45792</v>
      </c>
      <c r="G24" s="90">
        <v>45793</v>
      </c>
      <c r="H24" s="91">
        <v>45794</v>
      </c>
      <c r="J24" s="89">
        <v>45823</v>
      </c>
      <c r="K24" s="90">
        <v>45824</v>
      </c>
      <c r="L24" s="90">
        <v>45825</v>
      </c>
      <c r="M24" s="90">
        <v>45826</v>
      </c>
      <c r="N24" s="111">
        <v>45827</v>
      </c>
      <c r="O24" s="90">
        <v>45828</v>
      </c>
      <c r="P24" s="91">
        <v>45829</v>
      </c>
      <c r="R24" s="72">
        <v>45851</v>
      </c>
      <c r="S24" t="s">
        <v>183</v>
      </c>
    </row>
    <row r="25" spans="2:19" x14ac:dyDescent="0.25">
      <c r="B25" s="95">
        <v>45795</v>
      </c>
      <c r="C25" s="96">
        <v>45796</v>
      </c>
      <c r="D25" s="96">
        <v>45797</v>
      </c>
      <c r="E25" s="96">
        <v>45798</v>
      </c>
      <c r="F25" s="96">
        <v>45799</v>
      </c>
      <c r="G25" s="96">
        <v>45800</v>
      </c>
      <c r="H25" s="97">
        <v>45801</v>
      </c>
      <c r="J25" s="95">
        <v>45830</v>
      </c>
      <c r="K25" s="96">
        <v>45831</v>
      </c>
      <c r="L25" s="96">
        <v>45832</v>
      </c>
      <c r="M25" s="96">
        <v>45833</v>
      </c>
      <c r="N25" s="96">
        <v>45834</v>
      </c>
      <c r="O25" s="96">
        <v>45835</v>
      </c>
      <c r="P25" s="97">
        <v>45836</v>
      </c>
      <c r="R25" s="72">
        <v>45852</v>
      </c>
      <c r="S25" t="s">
        <v>183</v>
      </c>
    </row>
    <row r="26" spans="2:19" x14ac:dyDescent="0.25">
      <c r="B26" s="102">
        <v>45802</v>
      </c>
      <c r="C26" s="103">
        <v>45803</v>
      </c>
      <c r="D26" s="103">
        <v>45804</v>
      </c>
      <c r="E26" s="103">
        <v>45805</v>
      </c>
      <c r="F26" s="103">
        <v>45806</v>
      </c>
      <c r="G26" s="103">
        <v>45807</v>
      </c>
      <c r="H26" s="120">
        <v>45808</v>
      </c>
      <c r="J26" s="102">
        <v>45837</v>
      </c>
      <c r="K26" s="104">
        <v>45838</v>
      </c>
      <c r="L26" s="113"/>
      <c r="M26" s="114"/>
      <c r="N26" s="114"/>
      <c r="O26" s="114"/>
      <c r="P26" s="115"/>
      <c r="R26" s="72">
        <v>45853</v>
      </c>
      <c r="S26" t="s">
        <v>183</v>
      </c>
    </row>
    <row r="27" spans="2:19" x14ac:dyDescent="0.25">
      <c r="B27" s="106"/>
      <c r="C27" s="106"/>
      <c r="D27" s="106"/>
      <c r="E27" s="106"/>
      <c r="F27" s="106"/>
      <c r="G27" s="106"/>
      <c r="H27" s="106"/>
      <c r="J27" s="106"/>
      <c r="K27" s="106"/>
      <c r="L27" s="106"/>
      <c r="M27" s="106"/>
      <c r="N27" s="106"/>
      <c r="O27" s="106"/>
      <c r="P27" s="106"/>
      <c r="R27" s="72">
        <v>45864</v>
      </c>
      <c r="S27" t="s">
        <v>119</v>
      </c>
    </row>
    <row r="28" spans="2:19" ht="18" x14ac:dyDescent="0.25">
      <c r="B28" s="61"/>
      <c r="C28" s="62"/>
      <c r="D28" s="462" t="s">
        <v>129</v>
      </c>
      <c r="E28" s="463"/>
      <c r="F28" s="463"/>
      <c r="G28" s="62"/>
      <c r="H28" s="63"/>
      <c r="J28" s="61"/>
      <c r="K28" s="62"/>
      <c r="L28" s="462" t="s">
        <v>130</v>
      </c>
      <c r="M28" s="463"/>
      <c r="N28" s="463"/>
      <c r="O28" s="62"/>
      <c r="P28" s="63"/>
      <c r="R28" s="72">
        <v>45901</v>
      </c>
      <c r="S28" t="s">
        <v>120</v>
      </c>
    </row>
    <row r="29" spans="2:19" x14ac:dyDescent="0.25">
      <c r="B29" s="69" t="s">
        <v>108</v>
      </c>
      <c r="C29" s="70" t="s">
        <v>16</v>
      </c>
      <c r="D29" s="70" t="s">
        <v>17</v>
      </c>
      <c r="E29" s="70" t="s">
        <v>18</v>
      </c>
      <c r="F29" s="70" t="s">
        <v>19</v>
      </c>
      <c r="G29" s="70" t="s">
        <v>20</v>
      </c>
      <c r="H29" s="71" t="s">
        <v>98</v>
      </c>
      <c r="J29" s="69" t="s">
        <v>108</v>
      </c>
      <c r="K29" s="70" t="s">
        <v>16</v>
      </c>
      <c r="L29" s="70" t="s">
        <v>17</v>
      </c>
      <c r="M29" s="70" t="s">
        <v>18</v>
      </c>
      <c r="N29" s="70" t="s">
        <v>19</v>
      </c>
      <c r="O29" s="70" t="s">
        <v>20</v>
      </c>
      <c r="P29" s="71" t="s">
        <v>98</v>
      </c>
      <c r="R29" s="72">
        <v>45907</v>
      </c>
      <c r="S29" t="s">
        <v>121</v>
      </c>
    </row>
    <row r="30" spans="2:19" x14ac:dyDescent="0.25">
      <c r="B30" s="73"/>
      <c r="C30" s="75"/>
      <c r="D30" s="107">
        <v>45839</v>
      </c>
      <c r="E30" s="108">
        <v>45840</v>
      </c>
      <c r="F30" s="108">
        <v>45841</v>
      </c>
      <c r="G30" s="108">
        <v>45842</v>
      </c>
      <c r="H30" s="109">
        <v>45843</v>
      </c>
      <c r="J30" s="73"/>
      <c r="K30" s="74"/>
      <c r="L30" s="74"/>
      <c r="M30" s="74"/>
      <c r="N30" s="75"/>
      <c r="O30" s="107">
        <v>45870</v>
      </c>
      <c r="P30" s="109">
        <v>45871</v>
      </c>
      <c r="R30" s="72">
        <v>45942</v>
      </c>
      <c r="S30" t="s">
        <v>122</v>
      </c>
    </row>
    <row r="31" spans="2:19" x14ac:dyDescent="0.25">
      <c r="B31" s="83">
        <v>45844</v>
      </c>
      <c r="C31" s="84">
        <v>45845</v>
      </c>
      <c r="D31" s="84">
        <v>45846</v>
      </c>
      <c r="E31" s="118">
        <v>45847</v>
      </c>
      <c r="F31" s="84">
        <v>45848</v>
      </c>
      <c r="G31" s="84">
        <v>45849</v>
      </c>
      <c r="H31" s="85">
        <v>45850</v>
      </c>
      <c r="J31" s="83">
        <v>45872</v>
      </c>
      <c r="K31" s="84">
        <v>45873</v>
      </c>
      <c r="L31" s="84">
        <v>45874</v>
      </c>
      <c r="M31" s="84">
        <v>45875</v>
      </c>
      <c r="N31" s="84">
        <v>45876</v>
      </c>
      <c r="O31" s="84">
        <v>45877</v>
      </c>
      <c r="P31" s="85">
        <v>45878</v>
      </c>
      <c r="R31" s="72">
        <v>45945</v>
      </c>
      <c r="S31" t="s">
        <v>196</v>
      </c>
    </row>
    <row r="32" spans="2:19" x14ac:dyDescent="0.25">
      <c r="B32" s="89">
        <v>45851</v>
      </c>
      <c r="C32" s="90">
        <v>45852</v>
      </c>
      <c r="D32" s="90">
        <v>45853</v>
      </c>
      <c r="E32" s="90">
        <v>45854</v>
      </c>
      <c r="F32" s="90">
        <v>45855</v>
      </c>
      <c r="G32" s="90">
        <v>45856</v>
      </c>
      <c r="H32" s="91">
        <v>45857</v>
      </c>
      <c r="J32" s="89">
        <v>45879</v>
      </c>
      <c r="K32" s="90">
        <v>45880</v>
      </c>
      <c r="L32" s="90">
        <v>45881</v>
      </c>
      <c r="M32" s="90">
        <v>45882</v>
      </c>
      <c r="N32" s="90">
        <v>45883</v>
      </c>
      <c r="O32" s="90">
        <v>45884</v>
      </c>
      <c r="P32" s="91">
        <v>45885</v>
      </c>
      <c r="R32" s="72">
        <v>45963</v>
      </c>
      <c r="S32" t="s">
        <v>123</v>
      </c>
    </row>
    <row r="33" spans="2:19" x14ac:dyDescent="0.25">
      <c r="B33" s="95">
        <v>45858</v>
      </c>
      <c r="C33" s="96">
        <v>45859</v>
      </c>
      <c r="D33" s="96">
        <v>45860</v>
      </c>
      <c r="E33" s="96">
        <v>45861</v>
      </c>
      <c r="F33" s="96">
        <v>45862</v>
      </c>
      <c r="G33" s="96">
        <v>45863</v>
      </c>
      <c r="H33" s="118">
        <v>45864</v>
      </c>
      <c r="J33" s="89">
        <v>45886</v>
      </c>
      <c r="K33" s="90">
        <v>45887</v>
      </c>
      <c r="L33" s="90">
        <v>45888</v>
      </c>
      <c r="M33" s="90">
        <v>45889</v>
      </c>
      <c r="N33" s="90">
        <v>45890</v>
      </c>
      <c r="O33" s="90">
        <v>45891</v>
      </c>
      <c r="P33" s="91">
        <v>45892</v>
      </c>
      <c r="R33" s="72">
        <v>45976</v>
      </c>
      <c r="S33" t="s">
        <v>124</v>
      </c>
    </row>
    <row r="34" spans="2:19" x14ac:dyDescent="0.25">
      <c r="B34" s="102">
        <v>45865</v>
      </c>
      <c r="C34" s="103">
        <v>45866</v>
      </c>
      <c r="D34" s="103">
        <v>45867</v>
      </c>
      <c r="E34" s="103">
        <v>45868</v>
      </c>
      <c r="F34" s="104">
        <v>45869</v>
      </c>
      <c r="G34" s="113"/>
      <c r="H34" s="115"/>
      <c r="J34" s="95">
        <v>45893</v>
      </c>
      <c r="K34" s="96">
        <v>45894</v>
      </c>
      <c r="L34" s="96">
        <v>45895</v>
      </c>
      <c r="M34" s="96">
        <v>45896</v>
      </c>
      <c r="N34" s="96">
        <v>45897</v>
      </c>
      <c r="O34" s="96">
        <v>45898</v>
      </c>
      <c r="P34" s="97">
        <v>45899</v>
      </c>
      <c r="R34" s="72">
        <v>45981</v>
      </c>
      <c r="S34" t="s">
        <v>125</v>
      </c>
    </row>
    <row r="35" spans="2:19" x14ac:dyDescent="0.25">
      <c r="B35" s="106"/>
      <c r="C35" s="106"/>
      <c r="D35" s="106"/>
      <c r="E35" s="106"/>
      <c r="F35" s="106"/>
      <c r="G35" s="106"/>
      <c r="H35" s="106"/>
      <c r="J35" s="121">
        <v>45900</v>
      </c>
      <c r="K35" s="113"/>
      <c r="L35" s="114"/>
      <c r="M35" s="114"/>
      <c r="N35" s="114"/>
      <c r="O35" s="114"/>
      <c r="P35" s="115"/>
      <c r="R35" s="72">
        <v>46016</v>
      </c>
      <c r="S35" t="s">
        <v>126</v>
      </c>
    </row>
    <row r="36" spans="2:19" ht="16.5" x14ac:dyDescent="0.3">
      <c r="J36" s="106"/>
      <c r="K36" s="106"/>
      <c r="L36" s="106"/>
      <c r="M36" s="106"/>
      <c r="N36" s="106"/>
      <c r="O36" s="106"/>
      <c r="P36" s="106"/>
      <c r="R36" s="116"/>
      <c r="S36" s="117"/>
    </row>
    <row r="37" spans="2:19" ht="18.75" x14ac:dyDescent="0.3">
      <c r="B37" s="61"/>
      <c r="C37" s="62"/>
      <c r="D37" s="462" t="s">
        <v>131</v>
      </c>
      <c r="E37" s="463"/>
      <c r="F37" s="463"/>
      <c r="G37" s="62"/>
      <c r="H37" s="63"/>
      <c r="J37" s="61"/>
      <c r="K37" s="62"/>
      <c r="L37" s="462" t="s">
        <v>132</v>
      </c>
      <c r="M37" s="463"/>
      <c r="N37" s="463"/>
      <c r="O37" s="62"/>
      <c r="P37" s="63"/>
      <c r="R37" s="116"/>
      <c r="S37" s="117"/>
    </row>
    <row r="38" spans="2:19" ht="16.5" x14ac:dyDescent="0.3">
      <c r="B38" s="69" t="s">
        <v>108</v>
      </c>
      <c r="C38" s="70" t="s">
        <v>16</v>
      </c>
      <c r="D38" s="70" t="s">
        <v>17</v>
      </c>
      <c r="E38" s="70" t="s">
        <v>18</v>
      </c>
      <c r="F38" s="70" t="s">
        <v>19</v>
      </c>
      <c r="G38" s="70" t="s">
        <v>20</v>
      </c>
      <c r="H38" s="71" t="s">
        <v>98</v>
      </c>
      <c r="J38" s="69" t="s">
        <v>108</v>
      </c>
      <c r="K38" s="70" t="s">
        <v>16</v>
      </c>
      <c r="L38" s="70" t="s">
        <v>17</v>
      </c>
      <c r="M38" s="70" t="s">
        <v>18</v>
      </c>
      <c r="N38" s="70" t="s">
        <v>19</v>
      </c>
      <c r="O38" s="70" t="s">
        <v>20</v>
      </c>
      <c r="P38" s="71" t="s">
        <v>98</v>
      </c>
      <c r="R38" s="116"/>
      <c r="S38" s="117"/>
    </row>
    <row r="39" spans="2:19" ht="16.5" x14ac:dyDescent="0.3">
      <c r="B39" s="122"/>
      <c r="C39" s="118">
        <v>45901</v>
      </c>
      <c r="D39" s="108">
        <v>45902</v>
      </c>
      <c r="E39" s="108">
        <v>45903</v>
      </c>
      <c r="F39" s="108">
        <v>45904</v>
      </c>
      <c r="G39" s="108">
        <v>45905</v>
      </c>
      <c r="H39" s="109">
        <v>45906</v>
      </c>
      <c r="J39" s="73"/>
      <c r="K39" s="74"/>
      <c r="L39" s="75"/>
      <c r="M39" s="107">
        <v>45931</v>
      </c>
      <c r="N39" s="108">
        <v>45932</v>
      </c>
      <c r="O39" s="108">
        <v>45933</v>
      </c>
      <c r="P39" s="109">
        <v>45934</v>
      </c>
      <c r="R39" s="116"/>
      <c r="S39" s="117"/>
    </row>
    <row r="40" spans="2:19" ht="16.5" x14ac:dyDescent="0.3">
      <c r="B40" s="123">
        <v>45907</v>
      </c>
      <c r="C40" s="84">
        <v>45908</v>
      </c>
      <c r="D40" s="84">
        <v>45909</v>
      </c>
      <c r="E40" s="84">
        <v>45910</v>
      </c>
      <c r="F40" s="84">
        <v>45911</v>
      </c>
      <c r="G40" s="84">
        <v>45912</v>
      </c>
      <c r="H40" s="85">
        <v>45913</v>
      </c>
      <c r="J40" s="83">
        <v>45935</v>
      </c>
      <c r="K40" s="84">
        <v>45936</v>
      </c>
      <c r="L40" s="84">
        <v>45937</v>
      </c>
      <c r="M40" s="84">
        <v>45938</v>
      </c>
      <c r="N40" s="84">
        <v>45939</v>
      </c>
      <c r="O40" s="84">
        <v>45940</v>
      </c>
      <c r="P40" s="85">
        <v>45941</v>
      </c>
      <c r="R40" s="116"/>
      <c r="S40" s="117"/>
    </row>
    <row r="41" spans="2:19" ht="16.5" x14ac:dyDescent="0.3">
      <c r="B41" s="89">
        <v>45914</v>
      </c>
      <c r="C41" s="90">
        <v>45915</v>
      </c>
      <c r="D41" s="90">
        <v>45916</v>
      </c>
      <c r="E41" s="90">
        <v>45917</v>
      </c>
      <c r="F41" s="90">
        <v>45918</v>
      </c>
      <c r="G41" s="90">
        <v>45919</v>
      </c>
      <c r="H41" s="91">
        <v>45920</v>
      </c>
      <c r="J41" s="124">
        <v>45942</v>
      </c>
      <c r="K41" s="90">
        <v>45943</v>
      </c>
      <c r="L41" s="90">
        <v>45944</v>
      </c>
      <c r="M41" s="124">
        <v>45945</v>
      </c>
      <c r="N41" s="90">
        <v>45946</v>
      </c>
      <c r="O41" s="90">
        <v>45947</v>
      </c>
      <c r="P41" s="91">
        <v>45948</v>
      </c>
      <c r="R41" s="116"/>
      <c r="S41" s="117"/>
    </row>
    <row r="42" spans="2:19" ht="16.5" x14ac:dyDescent="0.3">
      <c r="B42" s="95">
        <v>45921</v>
      </c>
      <c r="C42" s="96">
        <v>45922</v>
      </c>
      <c r="D42" s="96">
        <v>45923</v>
      </c>
      <c r="E42" s="96">
        <v>45924</v>
      </c>
      <c r="F42" s="96">
        <v>45925</v>
      </c>
      <c r="G42" s="96">
        <v>45926</v>
      </c>
      <c r="H42" s="97">
        <v>45927</v>
      </c>
      <c r="J42" s="95">
        <v>45949</v>
      </c>
      <c r="K42" s="96">
        <v>45950</v>
      </c>
      <c r="L42" s="96">
        <v>45951</v>
      </c>
      <c r="M42" s="96">
        <v>45952</v>
      </c>
      <c r="N42" s="96">
        <v>45953</v>
      </c>
      <c r="O42" s="96">
        <v>45954</v>
      </c>
      <c r="P42" s="97">
        <v>45955</v>
      </c>
      <c r="R42" s="116"/>
      <c r="S42" s="117"/>
    </row>
    <row r="43" spans="2:19" ht="16.5" x14ac:dyDescent="0.3">
      <c r="B43" s="102">
        <v>45928</v>
      </c>
      <c r="C43" s="103">
        <v>45929</v>
      </c>
      <c r="D43" s="104">
        <v>45930</v>
      </c>
      <c r="E43" s="113"/>
      <c r="F43" s="114"/>
      <c r="G43" s="114"/>
      <c r="H43" s="115"/>
      <c r="J43" s="102">
        <v>45956</v>
      </c>
      <c r="K43" s="103">
        <v>45957</v>
      </c>
      <c r="L43" s="103">
        <v>45958</v>
      </c>
      <c r="M43" s="103">
        <v>45959</v>
      </c>
      <c r="N43" s="103">
        <v>45960</v>
      </c>
      <c r="O43" s="104">
        <v>45961</v>
      </c>
      <c r="P43" s="101"/>
      <c r="R43" s="116"/>
      <c r="S43" s="117"/>
    </row>
    <row r="44" spans="2:19" ht="16.5" x14ac:dyDescent="0.3">
      <c r="B44" s="106"/>
      <c r="C44" s="106"/>
      <c r="D44" s="106"/>
      <c r="E44" s="106"/>
      <c r="F44" s="106"/>
      <c r="G44" s="106"/>
      <c r="H44" s="106"/>
      <c r="J44" s="106"/>
      <c r="K44" s="106"/>
      <c r="L44" s="106"/>
      <c r="M44" s="106"/>
      <c r="N44" s="106"/>
      <c r="O44" s="106"/>
      <c r="P44" s="106"/>
      <c r="R44" s="116"/>
      <c r="S44" s="117"/>
    </row>
    <row r="45" spans="2:19" ht="18.75" x14ac:dyDescent="0.3">
      <c r="B45" s="61"/>
      <c r="C45" s="62"/>
      <c r="D45" s="462" t="s">
        <v>133</v>
      </c>
      <c r="E45" s="463"/>
      <c r="F45" s="463"/>
      <c r="G45" s="62"/>
      <c r="H45" s="63"/>
      <c r="J45" s="61"/>
      <c r="K45" s="62"/>
      <c r="L45" s="462" t="s">
        <v>134</v>
      </c>
      <c r="M45" s="463"/>
      <c r="N45" s="463"/>
      <c r="O45" s="62"/>
      <c r="P45" s="63"/>
      <c r="R45" s="116"/>
      <c r="S45" s="117"/>
    </row>
    <row r="46" spans="2:19" ht="16.5" x14ac:dyDescent="0.3">
      <c r="B46" s="69" t="s">
        <v>108</v>
      </c>
      <c r="C46" s="70" t="s">
        <v>16</v>
      </c>
      <c r="D46" s="70" t="s">
        <v>17</v>
      </c>
      <c r="E46" s="70" t="s">
        <v>18</v>
      </c>
      <c r="F46" s="70" t="s">
        <v>19</v>
      </c>
      <c r="G46" s="70" t="s">
        <v>20</v>
      </c>
      <c r="H46" s="71" t="s">
        <v>98</v>
      </c>
      <c r="J46" s="69" t="s">
        <v>108</v>
      </c>
      <c r="K46" s="70" t="s">
        <v>16</v>
      </c>
      <c r="L46" s="70" t="s">
        <v>17</v>
      </c>
      <c r="M46" s="70" t="s">
        <v>18</v>
      </c>
      <c r="N46" s="70" t="s">
        <v>19</v>
      </c>
      <c r="O46" s="70" t="s">
        <v>20</v>
      </c>
      <c r="P46" s="71" t="s">
        <v>98</v>
      </c>
      <c r="R46" s="116"/>
      <c r="S46" s="117"/>
    </row>
    <row r="47" spans="2:19" ht="16.5" x14ac:dyDescent="0.3">
      <c r="B47" s="73"/>
      <c r="C47" s="74"/>
      <c r="D47" s="74"/>
      <c r="E47" s="74"/>
      <c r="F47" s="74"/>
      <c r="G47" s="75"/>
      <c r="H47" s="79">
        <v>45962</v>
      </c>
      <c r="J47" s="122"/>
      <c r="K47" s="107">
        <v>45992</v>
      </c>
      <c r="L47" s="108">
        <v>45993</v>
      </c>
      <c r="M47" s="108">
        <v>45994</v>
      </c>
      <c r="N47" s="108">
        <v>45995</v>
      </c>
      <c r="O47" s="108">
        <v>45996</v>
      </c>
      <c r="P47" s="109">
        <v>45997</v>
      </c>
      <c r="R47" s="116"/>
      <c r="S47" s="117"/>
    </row>
    <row r="48" spans="2:19" ht="16.5" x14ac:dyDescent="0.3">
      <c r="B48" s="123">
        <v>45963</v>
      </c>
      <c r="C48" s="84">
        <v>45964</v>
      </c>
      <c r="D48" s="84">
        <v>45965</v>
      </c>
      <c r="E48" s="84">
        <v>45966</v>
      </c>
      <c r="F48" s="84">
        <v>45967</v>
      </c>
      <c r="G48" s="84">
        <v>45968</v>
      </c>
      <c r="H48" s="85">
        <v>45969</v>
      </c>
      <c r="J48" s="83">
        <v>45998</v>
      </c>
      <c r="K48" s="84">
        <v>45999</v>
      </c>
      <c r="L48" s="84">
        <v>46000</v>
      </c>
      <c r="M48" s="84">
        <v>46001</v>
      </c>
      <c r="N48" s="84">
        <v>46002</v>
      </c>
      <c r="O48" s="84">
        <v>46003</v>
      </c>
      <c r="P48" s="85">
        <v>46004</v>
      </c>
      <c r="R48" s="116"/>
      <c r="S48" s="117"/>
    </row>
    <row r="49" spans="2:19" ht="16.5" x14ac:dyDescent="0.3">
      <c r="B49" s="89">
        <v>45970</v>
      </c>
      <c r="C49" s="90">
        <v>45971</v>
      </c>
      <c r="D49" s="90">
        <v>45972</v>
      </c>
      <c r="E49" s="90">
        <v>45973</v>
      </c>
      <c r="F49" s="90">
        <v>45974</v>
      </c>
      <c r="G49" s="90">
        <v>45975</v>
      </c>
      <c r="H49" s="126">
        <v>45976</v>
      </c>
      <c r="J49" s="89">
        <v>46005</v>
      </c>
      <c r="K49" s="90">
        <v>46006</v>
      </c>
      <c r="L49" s="90">
        <v>46007</v>
      </c>
      <c r="M49" s="90">
        <v>46008</v>
      </c>
      <c r="N49" s="90">
        <v>46009</v>
      </c>
      <c r="O49" s="90">
        <v>46010</v>
      </c>
      <c r="P49" s="91">
        <v>46011</v>
      </c>
      <c r="R49" s="116"/>
      <c r="S49" s="117"/>
    </row>
    <row r="50" spans="2:19" ht="16.5" x14ac:dyDescent="0.3">
      <c r="B50" s="89">
        <v>45977</v>
      </c>
      <c r="C50" s="90">
        <v>45978</v>
      </c>
      <c r="D50" s="90">
        <v>45979</v>
      </c>
      <c r="E50" s="90">
        <v>45980</v>
      </c>
      <c r="F50" s="126">
        <v>45981</v>
      </c>
      <c r="G50" s="90">
        <v>45982</v>
      </c>
      <c r="H50" s="91">
        <v>45983</v>
      </c>
      <c r="J50" s="95">
        <v>46012</v>
      </c>
      <c r="K50" s="96">
        <v>46013</v>
      </c>
      <c r="L50" s="96">
        <v>46014</v>
      </c>
      <c r="M50" s="96">
        <v>46015</v>
      </c>
      <c r="N50" s="112">
        <v>46016</v>
      </c>
      <c r="O50" s="96">
        <v>46017</v>
      </c>
      <c r="P50" s="97">
        <v>46018</v>
      </c>
      <c r="R50" s="116"/>
      <c r="S50" s="117"/>
    </row>
    <row r="51" spans="2:19" ht="16.5" x14ac:dyDescent="0.3">
      <c r="B51" s="95">
        <v>45984</v>
      </c>
      <c r="C51" s="96">
        <v>45985</v>
      </c>
      <c r="D51" s="96">
        <v>45986</v>
      </c>
      <c r="E51" s="96">
        <v>45987</v>
      </c>
      <c r="F51" s="96">
        <v>45988</v>
      </c>
      <c r="G51" s="96">
        <v>45989</v>
      </c>
      <c r="H51" s="97">
        <v>45990</v>
      </c>
      <c r="J51" s="102">
        <v>46019</v>
      </c>
      <c r="K51" s="103">
        <v>46020</v>
      </c>
      <c r="L51" s="103">
        <v>46021</v>
      </c>
      <c r="M51" s="104">
        <v>46022</v>
      </c>
      <c r="N51" s="113"/>
      <c r="O51" s="114"/>
      <c r="P51" s="115"/>
      <c r="R51" s="116"/>
      <c r="S51" s="117"/>
    </row>
    <row r="52" spans="2:19" ht="16.5" x14ac:dyDescent="0.3">
      <c r="B52" s="121">
        <v>45991</v>
      </c>
      <c r="C52" s="113"/>
      <c r="D52" s="114"/>
      <c r="E52" s="114"/>
      <c r="F52" s="114"/>
      <c r="G52" s="114"/>
      <c r="H52" s="115"/>
      <c r="J52" s="106"/>
      <c r="K52" s="106"/>
      <c r="L52" s="106"/>
      <c r="M52" s="106"/>
      <c r="N52" s="106"/>
      <c r="O52" s="106"/>
      <c r="P52" s="106"/>
      <c r="R52" s="116"/>
      <c r="S52" s="117"/>
    </row>
    <row r="53" spans="2:19" ht="16.5" x14ac:dyDescent="0.3">
      <c r="B53" s="127" t="s">
        <v>135</v>
      </c>
      <c r="C53" s="106"/>
      <c r="D53" s="106"/>
      <c r="E53" s="106"/>
      <c r="F53" s="106"/>
      <c r="G53" s="106"/>
      <c r="H53" s="106"/>
      <c r="P53" s="128" t="s">
        <v>136</v>
      </c>
      <c r="R53" s="116"/>
      <c r="S53" s="117"/>
    </row>
    <row r="54" spans="2:19" ht="16.5" x14ac:dyDescent="0.3">
      <c r="R54" s="116"/>
      <c r="S54" s="117"/>
    </row>
    <row r="55" spans="2:19" ht="16.5" x14ac:dyDescent="0.3">
      <c r="R55" s="116"/>
      <c r="S55" s="117"/>
    </row>
    <row r="56" spans="2:19" ht="16.5" x14ac:dyDescent="0.3">
      <c r="R56" s="116"/>
      <c r="S56" s="117"/>
    </row>
    <row r="57" spans="2:19" ht="16.5" x14ac:dyDescent="0.3">
      <c r="R57" s="116"/>
      <c r="S57" s="117"/>
    </row>
    <row r="58" spans="2:19" ht="16.5" x14ac:dyDescent="0.3">
      <c r="R58" s="116"/>
      <c r="S58" s="117"/>
    </row>
    <row r="59" spans="2:19" ht="16.5" x14ac:dyDescent="0.3">
      <c r="R59" s="116"/>
      <c r="S59" s="117"/>
    </row>
    <row r="60" spans="2:19" x14ac:dyDescent="0.25">
      <c r="R60" s="125"/>
      <c r="S60" s="125"/>
    </row>
    <row r="61" spans="2:19" x14ac:dyDescent="0.25">
      <c r="R61" s="125"/>
      <c r="S61" s="125"/>
    </row>
    <row r="62" spans="2:19" x14ac:dyDescent="0.25">
      <c r="R62" s="125"/>
      <c r="S62" s="125"/>
    </row>
    <row r="63" spans="2:19" x14ac:dyDescent="0.25">
      <c r="R63" s="125"/>
      <c r="S63" s="125"/>
    </row>
    <row r="64" spans="2:19" x14ac:dyDescent="0.25">
      <c r="R64" s="125"/>
      <c r="S64" s="125"/>
    </row>
    <row r="65" spans="18:19" x14ac:dyDescent="0.25">
      <c r="R65" s="125"/>
      <c r="S65" s="125"/>
    </row>
    <row r="66" spans="18:19" x14ac:dyDescent="0.25">
      <c r="R66" s="125"/>
      <c r="S66" s="125"/>
    </row>
    <row r="67" spans="18:19" x14ac:dyDescent="0.25">
      <c r="R67" s="125"/>
      <c r="S67" s="125"/>
    </row>
    <row r="68" spans="18:19" x14ac:dyDescent="0.25">
      <c r="R68" s="125"/>
      <c r="S68" s="125"/>
    </row>
  </sheetData>
  <mergeCells count="12">
    <mergeCell ref="D28:F28"/>
    <mergeCell ref="L28:N28"/>
    <mergeCell ref="D37:F37"/>
    <mergeCell ref="L37:N37"/>
    <mergeCell ref="D45:F45"/>
    <mergeCell ref="L45:N45"/>
    <mergeCell ref="D3:F3"/>
    <mergeCell ref="L3:N3"/>
    <mergeCell ref="D11:F11"/>
    <mergeCell ref="L11:N11"/>
    <mergeCell ref="D20:F20"/>
    <mergeCell ref="L20:N20"/>
  </mergeCells>
  <hyperlinks>
    <hyperlink ref="P53" r:id="rId1" xr:uid="{B22BC503-8431-4E3B-8431-E69F504A560F}"/>
    <hyperlink ref="P1" r:id="rId2" display="https://www.wincalendar.com/pt/Modelos-Calendario-Word" xr:uid="{5231C4E8-34FE-46B7-9C0F-1DDB140B728C}"/>
  </hyperlinks>
  <pageMargins left="0.511811024" right="0.511811024" top="0.78740157499999996" bottom="0.78740157499999996" header="0.31496062000000002" footer="0.31496062000000002"/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8F706-CEC2-40F8-ACD5-F61B7E592C89}">
  <sheetPr codeName="Planilha5"/>
  <dimension ref="A1:I73"/>
  <sheetViews>
    <sheetView workbookViewId="0">
      <selection activeCell="K23" sqref="K23"/>
    </sheetView>
  </sheetViews>
  <sheetFormatPr defaultRowHeight="15" x14ac:dyDescent="0.25"/>
  <cols>
    <col min="1" max="1" width="19.28515625" bestFit="1" customWidth="1"/>
    <col min="2" max="2" width="11.5703125" style="49" customWidth="1"/>
    <col min="3" max="3" width="13.28515625" bestFit="1" customWidth="1"/>
    <col min="4" max="4" width="13.28515625" hidden="1" customWidth="1"/>
    <col min="5" max="5" width="12.140625" bestFit="1" customWidth="1"/>
    <col min="6" max="6" width="19.28515625" bestFit="1" customWidth="1"/>
    <col min="7" max="7" width="11.5703125" style="49" customWidth="1"/>
    <col min="8" max="8" width="13.28515625" bestFit="1" customWidth="1"/>
    <col min="9" max="9" width="13.28515625" customWidth="1"/>
  </cols>
  <sheetData>
    <row r="1" spans="1:9" x14ac:dyDescent="0.25">
      <c r="A1" s="4"/>
      <c r="B1" s="3"/>
      <c r="C1" s="2"/>
      <c r="D1" s="1"/>
      <c r="F1" s="4"/>
      <c r="G1" s="3"/>
      <c r="H1" s="2"/>
      <c r="I1" s="1"/>
    </row>
    <row r="2" spans="1:9" ht="15" customHeight="1" x14ac:dyDescent="0.25">
      <c r="A2" s="459" t="s">
        <v>146</v>
      </c>
      <c r="B2" s="459"/>
      <c r="C2" s="459"/>
      <c r="D2" s="459"/>
      <c r="F2" s="459" t="s">
        <v>146</v>
      </c>
      <c r="G2" s="459"/>
      <c r="H2" s="459"/>
      <c r="I2" s="459"/>
    </row>
    <row r="3" spans="1:9" ht="15" customHeight="1" x14ac:dyDescent="0.25">
      <c r="A3" s="459"/>
      <c r="B3" s="459"/>
      <c r="C3" s="459"/>
      <c r="D3" s="459"/>
      <c r="F3" s="459"/>
      <c r="G3" s="459"/>
      <c r="H3" s="459"/>
      <c r="I3" s="459"/>
    </row>
    <row r="4" spans="1:9" ht="15.75" thickBot="1" x14ac:dyDescent="0.3">
      <c r="A4" s="4"/>
      <c r="B4" s="165" t="s">
        <v>166</v>
      </c>
      <c r="C4" s="165" t="s">
        <v>167</v>
      </c>
      <c r="D4" s="165" t="s">
        <v>168</v>
      </c>
      <c r="F4" s="4"/>
      <c r="G4" s="165" t="s">
        <v>166</v>
      </c>
      <c r="H4" s="165" t="s">
        <v>167</v>
      </c>
      <c r="I4" s="165" t="s">
        <v>168</v>
      </c>
    </row>
    <row r="5" spans="1:9" x14ac:dyDescent="0.25">
      <c r="A5" s="166" t="s">
        <v>142</v>
      </c>
      <c r="B5" s="167">
        <v>47.5</v>
      </c>
      <c r="C5" s="158">
        <v>0.125</v>
      </c>
      <c r="D5" s="168">
        <f>B5*C5*24</f>
        <v>142.5</v>
      </c>
      <c r="F5" s="166" t="s">
        <v>142</v>
      </c>
      <c r="G5" s="167">
        <v>47.5</v>
      </c>
      <c r="H5" s="158">
        <v>0.10416666666666667</v>
      </c>
      <c r="I5" s="168">
        <f>G5*H5*24</f>
        <v>118.75</v>
      </c>
    </row>
    <row r="6" spans="1:9" x14ac:dyDescent="0.25">
      <c r="A6" s="169" t="s">
        <v>143</v>
      </c>
      <c r="B6" s="141">
        <v>47.5</v>
      </c>
      <c r="C6" s="140">
        <v>0.125</v>
      </c>
      <c r="D6" s="170">
        <f t="shared" ref="D6:D7" si="0">B6*C6*24</f>
        <v>142.5</v>
      </c>
      <c r="F6" s="169" t="s">
        <v>143</v>
      </c>
      <c r="G6" s="141">
        <v>47.5</v>
      </c>
      <c r="H6" s="140">
        <v>0.10416666666666667</v>
      </c>
      <c r="I6" s="170">
        <f t="shared" ref="I6:I7" si="1">G6*H6*24</f>
        <v>118.75</v>
      </c>
    </row>
    <row r="7" spans="1:9" ht="15.75" thickBot="1" x14ac:dyDescent="0.3">
      <c r="A7" s="171" t="s">
        <v>144</v>
      </c>
      <c r="B7" s="172">
        <v>47.5</v>
      </c>
      <c r="C7" s="163">
        <v>0.125</v>
      </c>
      <c r="D7" s="173">
        <f t="shared" si="0"/>
        <v>142.5</v>
      </c>
      <c r="F7" s="171" t="s">
        <v>144</v>
      </c>
      <c r="G7" s="172">
        <v>47.5</v>
      </c>
      <c r="H7" s="163">
        <v>0.10416666666666667</v>
      </c>
      <c r="I7" s="173">
        <f t="shared" si="1"/>
        <v>118.75</v>
      </c>
    </row>
    <row r="8" spans="1:9" ht="15" hidden="1" customHeight="1" x14ac:dyDescent="0.25">
      <c r="A8" s="137"/>
      <c r="B8" s="143">
        <f>SUM(B5:B7)</f>
        <v>142.5</v>
      </c>
      <c r="C8" s="144"/>
      <c r="D8" s="145">
        <f>SUM(D5:D7)</f>
        <v>427.5</v>
      </c>
      <c r="F8" s="137"/>
      <c r="G8" s="143">
        <f>SUM(G5:G7)</f>
        <v>142.5</v>
      </c>
      <c r="H8" s="144"/>
      <c r="I8" s="145">
        <f>SUM(I5:I7)</f>
        <v>356.25</v>
      </c>
    </row>
    <row r="9" spans="1:9" ht="15.75" thickBot="1" x14ac:dyDescent="0.3">
      <c r="A9" s="4"/>
      <c r="B9" s="3"/>
      <c r="C9" s="2"/>
      <c r="D9" s="1"/>
      <c r="F9" s="4"/>
      <c r="G9" s="3"/>
      <c r="H9" s="2"/>
      <c r="I9" s="1"/>
    </row>
    <row r="10" spans="1:9" ht="30.75" thickBot="1" x14ac:dyDescent="0.3">
      <c r="A10" s="154" t="s">
        <v>164</v>
      </c>
      <c r="B10" s="155" t="s">
        <v>165</v>
      </c>
      <c r="C10" s="156" t="s">
        <v>169</v>
      </c>
      <c r="F10" s="154" t="s">
        <v>164</v>
      </c>
      <c r="G10" s="155" t="s">
        <v>165</v>
      </c>
      <c r="H10" s="156" t="s">
        <v>169</v>
      </c>
    </row>
    <row r="11" spans="1:9" x14ac:dyDescent="0.25">
      <c r="A11" s="152" t="s">
        <v>147</v>
      </c>
      <c r="B11" s="50">
        <f>COUNTA(A12:B14)</f>
        <v>3</v>
      </c>
      <c r="C11" s="153">
        <f>B11*$D$8</f>
        <v>1282.5</v>
      </c>
      <c r="F11" s="152" t="s">
        <v>147</v>
      </c>
      <c r="G11" s="50"/>
      <c r="H11" s="153">
        <f>G11*$D$8</f>
        <v>0</v>
      </c>
    </row>
    <row r="12" spans="1:9" ht="15" hidden="1" customHeight="1" x14ac:dyDescent="0.25">
      <c r="A12" s="139">
        <v>45699</v>
      </c>
      <c r="B12" s="138"/>
      <c r="C12" s="146"/>
      <c r="F12" s="139">
        <v>45699</v>
      </c>
      <c r="G12" s="138"/>
      <c r="H12" s="146"/>
    </row>
    <row r="13" spans="1:9" ht="15" hidden="1" customHeight="1" x14ac:dyDescent="0.25">
      <c r="A13" s="139">
        <v>45706</v>
      </c>
      <c r="B13" s="138"/>
      <c r="C13" s="146"/>
      <c r="F13" s="139">
        <v>45706</v>
      </c>
      <c r="G13" s="138"/>
      <c r="H13" s="146"/>
    </row>
    <row r="14" spans="1:9" ht="15" hidden="1" customHeight="1" x14ac:dyDescent="0.25">
      <c r="A14" s="139">
        <v>45713</v>
      </c>
      <c r="B14" s="138"/>
      <c r="C14" s="146"/>
      <c r="F14" s="139">
        <v>45713</v>
      </c>
      <c r="G14" s="138"/>
      <c r="H14" s="146"/>
    </row>
    <row r="15" spans="1:9" x14ac:dyDescent="0.25">
      <c r="A15" s="136" t="s">
        <v>154</v>
      </c>
      <c r="B15" s="138">
        <f>COUNTA(A16:B18)</f>
        <v>3</v>
      </c>
      <c r="C15" s="146">
        <f>B15*D8</f>
        <v>1282.5</v>
      </c>
      <c r="F15" s="136" t="s">
        <v>154</v>
      </c>
      <c r="G15" s="138"/>
      <c r="H15" s="146">
        <f>G15*I8</f>
        <v>0</v>
      </c>
    </row>
    <row r="16" spans="1:9" ht="15" hidden="1" customHeight="1" x14ac:dyDescent="0.25">
      <c r="A16" s="139">
        <v>45727</v>
      </c>
      <c r="B16" s="138"/>
      <c r="C16" s="146"/>
      <c r="F16" s="139">
        <v>45727</v>
      </c>
      <c r="G16" s="138"/>
      <c r="H16" s="146"/>
    </row>
    <row r="17" spans="1:8" ht="15" hidden="1" customHeight="1" x14ac:dyDescent="0.25">
      <c r="A17" s="139">
        <v>45734</v>
      </c>
      <c r="B17" s="138"/>
      <c r="C17" s="146"/>
      <c r="F17" s="139">
        <v>45734</v>
      </c>
      <c r="G17" s="138"/>
      <c r="H17" s="146"/>
    </row>
    <row r="18" spans="1:8" ht="15" hidden="1" customHeight="1" x14ac:dyDescent="0.25">
      <c r="A18" s="139">
        <v>45741</v>
      </c>
      <c r="B18" s="138"/>
      <c r="C18" s="146"/>
      <c r="F18" s="139">
        <v>45741</v>
      </c>
      <c r="G18" s="138"/>
      <c r="H18" s="146"/>
    </row>
    <row r="19" spans="1:8" x14ac:dyDescent="0.25">
      <c r="A19" s="136" t="s">
        <v>155</v>
      </c>
      <c r="B19" s="138">
        <f>COUNTA(A20:B24)</f>
        <v>5</v>
      </c>
      <c r="C19" s="146">
        <f>B19*D8</f>
        <v>2137.5</v>
      </c>
      <c r="F19" s="136" t="s">
        <v>155</v>
      </c>
      <c r="G19" s="138"/>
      <c r="H19" s="146">
        <f>G19*I8</f>
        <v>0</v>
      </c>
    </row>
    <row r="20" spans="1:8" ht="15" hidden="1" customHeight="1" x14ac:dyDescent="0.25">
      <c r="A20" s="139">
        <v>45748</v>
      </c>
      <c r="B20" s="139"/>
      <c r="C20" s="146"/>
      <c r="F20" s="139">
        <v>45748</v>
      </c>
      <c r="G20" s="139"/>
      <c r="H20" s="146"/>
    </row>
    <row r="21" spans="1:8" ht="15" hidden="1" customHeight="1" x14ac:dyDescent="0.25">
      <c r="A21" s="139">
        <v>45755</v>
      </c>
      <c r="B21" s="139"/>
      <c r="C21" s="146"/>
      <c r="F21" s="139">
        <v>45755</v>
      </c>
      <c r="G21" s="139"/>
      <c r="H21" s="146"/>
    </row>
    <row r="22" spans="1:8" ht="15" hidden="1" customHeight="1" x14ac:dyDescent="0.25">
      <c r="A22" s="139">
        <v>45762</v>
      </c>
      <c r="B22" s="139"/>
      <c r="C22" s="146"/>
      <c r="F22" s="139">
        <v>45762</v>
      </c>
      <c r="G22" s="139"/>
      <c r="H22" s="146"/>
    </row>
    <row r="23" spans="1:8" ht="15" hidden="1" customHeight="1" x14ac:dyDescent="0.25">
      <c r="A23" s="139">
        <v>45769</v>
      </c>
      <c r="B23" s="139"/>
      <c r="C23" s="146"/>
      <c r="F23" s="139">
        <v>45769</v>
      </c>
      <c r="G23" s="139"/>
      <c r="H23" s="146"/>
    </row>
    <row r="24" spans="1:8" ht="15" hidden="1" customHeight="1" x14ac:dyDescent="0.25">
      <c r="A24" s="139">
        <v>45776</v>
      </c>
      <c r="B24" s="139"/>
      <c r="C24" s="146"/>
      <c r="E24" s="296"/>
      <c r="F24" s="139">
        <v>45776</v>
      </c>
      <c r="G24" s="139"/>
      <c r="H24" s="146"/>
    </row>
    <row r="25" spans="1:8" x14ac:dyDescent="0.25">
      <c r="A25" s="136" t="s">
        <v>156</v>
      </c>
      <c r="B25" s="138">
        <f>COUNTA(A26:B29)</f>
        <v>5</v>
      </c>
      <c r="C25" s="146">
        <f>B25*D8</f>
        <v>2137.5</v>
      </c>
      <c r="F25" s="136" t="s">
        <v>156</v>
      </c>
      <c r="G25" s="138"/>
      <c r="H25" s="146">
        <f>G25*I8</f>
        <v>0</v>
      </c>
    </row>
    <row r="26" spans="1:8" ht="15" hidden="1" customHeight="1" x14ac:dyDescent="0.25">
      <c r="A26" s="139">
        <v>45783</v>
      </c>
      <c r="B26" s="139">
        <v>45785</v>
      </c>
      <c r="C26" s="146"/>
      <c r="F26" s="139">
        <v>45783</v>
      </c>
      <c r="G26" s="139"/>
      <c r="H26" s="146"/>
    </row>
    <row r="27" spans="1:8" ht="15" hidden="1" customHeight="1" x14ac:dyDescent="0.25">
      <c r="A27" s="139">
        <v>45790</v>
      </c>
      <c r="B27" s="138"/>
      <c r="C27" s="146"/>
      <c r="F27" s="139">
        <v>45790</v>
      </c>
      <c r="G27" s="138"/>
      <c r="H27" s="146"/>
    </row>
    <row r="28" spans="1:8" ht="15" hidden="1" customHeight="1" x14ac:dyDescent="0.25">
      <c r="A28" s="139">
        <v>45797</v>
      </c>
      <c r="B28" s="138"/>
      <c r="C28" s="146"/>
      <c r="F28" s="139">
        <v>45797</v>
      </c>
      <c r="G28" s="138"/>
      <c r="H28" s="146"/>
    </row>
    <row r="29" spans="1:8" ht="15" hidden="1" customHeight="1" x14ac:dyDescent="0.25">
      <c r="A29" s="139">
        <v>45804</v>
      </c>
      <c r="B29" s="138"/>
      <c r="C29" s="146"/>
      <c r="F29" s="139">
        <v>45804</v>
      </c>
      <c r="G29" s="138"/>
      <c r="H29" s="146"/>
    </row>
    <row r="30" spans="1:8" x14ac:dyDescent="0.25">
      <c r="A30" s="136" t="s">
        <v>157</v>
      </c>
      <c r="B30" s="138">
        <f>COUNTA(A31:B34)</f>
        <v>4</v>
      </c>
      <c r="C30" s="146">
        <f>B30*D8</f>
        <v>1710</v>
      </c>
      <c r="F30" s="136" t="s">
        <v>157</v>
      </c>
      <c r="G30" s="138"/>
      <c r="H30" s="146">
        <f>G30*I8</f>
        <v>0</v>
      </c>
    </row>
    <row r="31" spans="1:8" ht="15" hidden="1" customHeight="1" x14ac:dyDescent="0.25">
      <c r="A31" s="139">
        <v>45811</v>
      </c>
      <c r="B31" s="139"/>
      <c r="C31" s="146"/>
      <c r="F31" s="139">
        <v>45811</v>
      </c>
      <c r="G31" s="139"/>
      <c r="H31" s="146"/>
    </row>
    <row r="32" spans="1:8" ht="15" hidden="1" customHeight="1" x14ac:dyDescent="0.25">
      <c r="A32" s="139">
        <v>45818</v>
      </c>
      <c r="B32" s="139"/>
      <c r="C32" s="146"/>
      <c r="F32" s="139">
        <v>45818</v>
      </c>
      <c r="G32" s="139"/>
      <c r="H32" s="146"/>
    </row>
    <row r="33" spans="1:8" ht="15" hidden="1" customHeight="1" x14ac:dyDescent="0.25">
      <c r="A33" s="139">
        <v>45825</v>
      </c>
      <c r="B33" s="139"/>
      <c r="C33" s="146"/>
      <c r="F33" s="139">
        <v>45825</v>
      </c>
      <c r="G33" s="139"/>
      <c r="H33" s="146"/>
    </row>
    <row r="34" spans="1:8" ht="15" hidden="1" customHeight="1" x14ac:dyDescent="0.25">
      <c r="A34" s="139">
        <v>45832</v>
      </c>
      <c r="B34" s="138"/>
      <c r="C34" s="146"/>
      <c r="F34" s="139">
        <v>45832</v>
      </c>
      <c r="G34" s="138"/>
      <c r="H34" s="146"/>
    </row>
    <row r="35" spans="1:8" x14ac:dyDescent="0.25">
      <c r="A35" s="136" t="s">
        <v>158</v>
      </c>
      <c r="B35" s="138">
        <f>COUNTA(A36:B37)</f>
        <v>2</v>
      </c>
      <c r="C35" s="305">
        <f>B35*D8</f>
        <v>855</v>
      </c>
      <c r="F35" s="136" t="s">
        <v>158</v>
      </c>
      <c r="G35" s="138">
        <f>COUNTA(F36:G37)</f>
        <v>4</v>
      </c>
      <c r="H35" s="146">
        <f>G35*I8</f>
        <v>1425</v>
      </c>
    </row>
    <row r="36" spans="1:8" x14ac:dyDescent="0.25">
      <c r="A36" s="139">
        <v>45860</v>
      </c>
      <c r="B36" s="304"/>
      <c r="C36" s="146"/>
      <c r="F36" s="139">
        <v>45860</v>
      </c>
      <c r="G36" s="304">
        <v>23</v>
      </c>
      <c r="H36" s="146"/>
    </row>
    <row r="37" spans="1:8" x14ac:dyDescent="0.25">
      <c r="A37" s="139">
        <v>45867</v>
      </c>
      <c r="B37" s="304"/>
      <c r="C37" s="146"/>
      <c r="F37" s="139">
        <v>45867</v>
      </c>
      <c r="G37" s="304">
        <v>30</v>
      </c>
      <c r="H37" s="146"/>
    </row>
    <row r="38" spans="1:8" x14ac:dyDescent="0.25">
      <c r="A38" s="136" t="s">
        <v>159</v>
      </c>
      <c r="B38" s="138">
        <f>COUNTA(A39:B42)</f>
        <v>4</v>
      </c>
      <c r="C38" s="146">
        <f>B38*D8</f>
        <v>1710</v>
      </c>
      <c r="F38" s="136" t="s">
        <v>159</v>
      </c>
      <c r="G38" s="138"/>
      <c r="H38" s="146">
        <f>G38*I8</f>
        <v>0</v>
      </c>
    </row>
    <row r="39" spans="1:8" ht="15" hidden="1" customHeight="1" x14ac:dyDescent="0.25">
      <c r="A39" s="139">
        <v>45874</v>
      </c>
      <c r="B39" s="138"/>
      <c r="C39" s="146"/>
      <c r="F39" s="139">
        <v>45874</v>
      </c>
      <c r="G39" s="138"/>
      <c r="H39" s="146"/>
    </row>
    <row r="40" spans="1:8" ht="15" hidden="1" customHeight="1" x14ac:dyDescent="0.25">
      <c r="A40" s="139">
        <v>45881</v>
      </c>
      <c r="B40" s="138"/>
      <c r="C40" s="146"/>
      <c r="F40" s="139">
        <v>45881</v>
      </c>
      <c r="G40" s="138"/>
      <c r="H40" s="146"/>
    </row>
    <row r="41" spans="1:8" ht="15" hidden="1" customHeight="1" x14ac:dyDescent="0.25">
      <c r="A41" s="139">
        <v>45888</v>
      </c>
      <c r="B41" s="138"/>
      <c r="C41" s="146"/>
      <c r="F41" s="139">
        <v>45888</v>
      </c>
      <c r="G41" s="138"/>
      <c r="H41" s="146"/>
    </row>
    <row r="42" spans="1:8" ht="15" hidden="1" customHeight="1" x14ac:dyDescent="0.25">
      <c r="A42" s="139">
        <v>45895</v>
      </c>
      <c r="B42" s="138"/>
      <c r="C42" s="146"/>
      <c r="F42" s="139">
        <v>45895</v>
      </c>
      <c r="G42" s="138"/>
      <c r="H42" s="146"/>
    </row>
    <row r="43" spans="1:8" x14ac:dyDescent="0.25">
      <c r="A43" s="136" t="s">
        <v>160</v>
      </c>
      <c r="B43" s="138">
        <f>COUNTA(A44:B48)</f>
        <v>5</v>
      </c>
      <c r="C43" s="146">
        <f>B43*D8</f>
        <v>2137.5</v>
      </c>
      <c r="F43" s="136" t="s">
        <v>160</v>
      </c>
      <c r="G43" s="138"/>
      <c r="H43" s="146">
        <f>G43*I8</f>
        <v>0</v>
      </c>
    </row>
    <row r="44" spans="1:8" ht="15" hidden="1" customHeight="1" x14ac:dyDescent="0.25">
      <c r="A44" s="139">
        <v>45902</v>
      </c>
      <c r="B44" s="138"/>
      <c r="C44" s="146"/>
      <c r="F44" s="139">
        <v>45902</v>
      </c>
      <c r="G44" s="138"/>
      <c r="H44" s="146"/>
    </row>
    <row r="45" spans="1:8" ht="15" hidden="1" customHeight="1" x14ac:dyDescent="0.25">
      <c r="A45" s="139">
        <v>45909</v>
      </c>
      <c r="B45" s="138"/>
      <c r="C45" s="146"/>
      <c r="F45" s="139">
        <v>45909</v>
      </c>
      <c r="G45" s="138"/>
      <c r="H45" s="146"/>
    </row>
    <row r="46" spans="1:8" ht="15" hidden="1" customHeight="1" x14ac:dyDescent="0.25">
      <c r="A46" s="139">
        <v>45916</v>
      </c>
      <c r="B46" s="138"/>
      <c r="C46" s="146"/>
      <c r="F46" s="139">
        <v>45916</v>
      </c>
      <c r="G46" s="138"/>
      <c r="H46" s="146"/>
    </row>
    <row r="47" spans="1:8" ht="15" hidden="1" customHeight="1" x14ac:dyDescent="0.25">
      <c r="A47" s="139">
        <v>45923</v>
      </c>
      <c r="B47" s="138"/>
      <c r="C47" s="146"/>
      <c r="F47" s="139">
        <v>45923</v>
      </c>
      <c r="G47" s="138"/>
      <c r="H47" s="146"/>
    </row>
    <row r="48" spans="1:8" ht="15" hidden="1" customHeight="1" x14ac:dyDescent="0.25">
      <c r="A48" s="139">
        <v>45930</v>
      </c>
      <c r="B48" s="138"/>
      <c r="C48" s="146"/>
      <c r="F48" s="139">
        <v>45930</v>
      </c>
      <c r="G48" s="138"/>
      <c r="H48" s="146"/>
    </row>
    <row r="49" spans="1:8" x14ac:dyDescent="0.25">
      <c r="A49" s="136" t="s">
        <v>161</v>
      </c>
      <c r="B49" s="138">
        <f>COUNTA(A50:B53)</f>
        <v>4</v>
      </c>
      <c r="C49" s="146">
        <f>B49*D8</f>
        <v>1710</v>
      </c>
      <c r="F49" s="136" t="s">
        <v>161</v>
      </c>
      <c r="G49" s="138"/>
      <c r="H49" s="146">
        <f>G49*I8</f>
        <v>0</v>
      </c>
    </row>
    <row r="50" spans="1:8" ht="15" hidden="1" customHeight="1" x14ac:dyDescent="0.25">
      <c r="A50" s="139">
        <v>45937</v>
      </c>
      <c r="B50" s="138"/>
      <c r="C50" s="146"/>
      <c r="F50" s="139">
        <v>45937</v>
      </c>
      <c r="G50" s="138"/>
      <c r="H50" s="146"/>
    </row>
    <row r="51" spans="1:8" ht="15" hidden="1" customHeight="1" x14ac:dyDescent="0.25">
      <c r="A51" s="139">
        <v>45944</v>
      </c>
      <c r="B51" s="138"/>
      <c r="C51" s="146"/>
      <c r="F51" s="139">
        <v>45944</v>
      </c>
      <c r="G51" s="138"/>
      <c r="H51" s="146"/>
    </row>
    <row r="52" spans="1:8" ht="15" hidden="1" customHeight="1" x14ac:dyDescent="0.25">
      <c r="A52" s="139">
        <v>45951</v>
      </c>
      <c r="B52" s="138"/>
      <c r="C52" s="146"/>
      <c r="F52" s="139">
        <v>45951</v>
      </c>
      <c r="G52" s="138"/>
      <c r="H52" s="146"/>
    </row>
    <row r="53" spans="1:8" ht="15" hidden="1" customHeight="1" x14ac:dyDescent="0.25">
      <c r="A53" s="139">
        <v>45958</v>
      </c>
      <c r="B53" s="138"/>
      <c r="C53" s="146"/>
      <c r="F53" s="139">
        <v>45958</v>
      </c>
      <c r="G53" s="138"/>
      <c r="H53" s="146"/>
    </row>
    <row r="54" spans="1:8" x14ac:dyDescent="0.25">
      <c r="A54" s="136" t="s">
        <v>162</v>
      </c>
      <c r="B54" s="138">
        <f>COUNTA(A55:B58)</f>
        <v>8</v>
      </c>
      <c r="C54" s="146">
        <f>B54*D8</f>
        <v>3420</v>
      </c>
      <c r="F54" s="136" t="s">
        <v>162</v>
      </c>
      <c r="G54" s="138"/>
      <c r="H54" s="146">
        <f>G54*I8</f>
        <v>0</v>
      </c>
    </row>
    <row r="55" spans="1:8" ht="15" hidden="1" customHeight="1" x14ac:dyDescent="0.25">
      <c r="A55" s="139">
        <v>45965</v>
      </c>
      <c r="B55" s="139">
        <v>5</v>
      </c>
      <c r="C55" s="146"/>
      <c r="F55" s="139">
        <v>45965</v>
      </c>
      <c r="G55" s="139"/>
      <c r="H55" s="146"/>
    </row>
    <row r="56" spans="1:8" ht="15" hidden="1" customHeight="1" x14ac:dyDescent="0.25">
      <c r="A56" s="139">
        <v>45972</v>
      </c>
      <c r="B56" s="139">
        <v>12</v>
      </c>
      <c r="C56" s="146"/>
      <c r="F56" s="139">
        <v>45972</v>
      </c>
      <c r="G56" s="139"/>
      <c r="H56" s="146"/>
    </row>
    <row r="57" spans="1:8" ht="15" hidden="1" customHeight="1" x14ac:dyDescent="0.25">
      <c r="A57" s="139">
        <v>45979</v>
      </c>
      <c r="B57" s="139">
        <v>19</v>
      </c>
      <c r="C57" s="146"/>
      <c r="F57" s="139">
        <v>45979</v>
      </c>
      <c r="G57" s="139"/>
      <c r="H57" s="146"/>
    </row>
    <row r="58" spans="1:8" ht="15" hidden="1" customHeight="1" x14ac:dyDescent="0.25">
      <c r="A58" s="139">
        <v>45986</v>
      </c>
      <c r="B58" s="139">
        <v>26</v>
      </c>
      <c r="C58" s="146"/>
      <c r="F58" s="139">
        <v>45986</v>
      </c>
      <c r="G58" s="139"/>
      <c r="H58" s="146"/>
    </row>
    <row r="59" spans="1:8" x14ac:dyDescent="0.25">
      <c r="A59" s="136" t="s">
        <v>163</v>
      </c>
      <c r="B59" s="138">
        <f>COUNTA(A60:B62)</f>
        <v>6</v>
      </c>
      <c r="C59" s="146">
        <f>B59*D8</f>
        <v>2565</v>
      </c>
      <c r="F59" s="136" t="s">
        <v>163</v>
      </c>
      <c r="G59" s="138"/>
      <c r="H59" s="146">
        <f>G59*I8</f>
        <v>0</v>
      </c>
    </row>
    <row r="60" spans="1:8" x14ac:dyDescent="0.25">
      <c r="A60" s="84">
        <v>45993</v>
      </c>
      <c r="B60" s="84">
        <v>3</v>
      </c>
      <c r="F60" s="84"/>
      <c r="G60" s="84"/>
    </row>
    <row r="61" spans="1:8" x14ac:dyDescent="0.25">
      <c r="A61" s="84">
        <v>46000</v>
      </c>
      <c r="B61" s="84">
        <v>10</v>
      </c>
      <c r="F61" s="84"/>
      <c r="G61" s="84"/>
    </row>
    <row r="62" spans="1:8" ht="15.75" thickBot="1" x14ac:dyDescent="0.3">
      <c r="A62" s="96">
        <v>46007</v>
      </c>
      <c r="B62" s="96">
        <v>17</v>
      </c>
      <c r="F62" s="96"/>
      <c r="G62" s="96"/>
    </row>
    <row r="63" spans="1:8" ht="15.75" thickBot="1" x14ac:dyDescent="0.3">
      <c r="A63" s="149" t="s">
        <v>170</v>
      </c>
      <c r="B63" s="150"/>
      <c r="C63" s="151">
        <f>SUM(C11:C59)</f>
        <v>20947.5</v>
      </c>
      <c r="F63" s="149" t="s">
        <v>170</v>
      </c>
      <c r="G63" s="150"/>
      <c r="H63" s="151">
        <f>SUM(H11:H59)</f>
        <v>1425</v>
      </c>
    </row>
    <row r="65" spans="1:8" ht="15.75" thickBot="1" x14ac:dyDescent="0.3"/>
    <row r="66" spans="1:8" ht="30.75" thickBot="1" x14ac:dyDescent="0.3">
      <c r="A66" s="154" t="s">
        <v>171</v>
      </c>
      <c r="B66" s="154" t="s">
        <v>1</v>
      </c>
      <c r="C66" s="154" t="s">
        <v>176</v>
      </c>
      <c r="F66" s="154" t="s">
        <v>171</v>
      </c>
      <c r="G66" s="154" t="s">
        <v>1</v>
      </c>
      <c r="H66" s="154" t="s">
        <v>176</v>
      </c>
    </row>
    <row r="67" spans="1:8" x14ac:dyDescent="0.25">
      <c r="A67" s="157" t="s">
        <v>172</v>
      </c>
      <c r="B67" s="158">
        <v>0.16666666666666666</v>
      </c>
      <c r="C67" s="159">
        <f>B67*$B$8*24</f>
        <v>570</v>
      </c>
      <c r="F67" s="157" t="s">
        <v>172</v>
      </c>
      <c r="G67" s="158">
        <v>0.16666666666666666</v>
      </c>
      <c r="H67" s="159">
        <f>G67*$B$8*24</f>
        <v>570</v>
      </c>
    </row>
    <row r="68" spans="1:8" x14ac:dyDescent="0.25">
      <c r="A68" s="160" t="s">
        <v>173</v>
      </c>
      <c r="B68" s="140">
        <v>0.20833333333333334</v>
      </c>
      <c r="C68" s="161">
        <f t="shared" ref="C68:C70" si="2">B68*$B$8*24</f>
        <v>712.5</v>
      </c>
      <c r="F68" s="160" t="s">
        <v>173</v>
      </c>
      <c r="G68" s="140">
        <v>0.20833333333333334</v>
      </c>
      <c r="H68" s="161">
        <f t="shared" ref="H68:H70" si="3">G68*$B$8*24</f>
        <v>712.5</v>
      </c>
    </row>
    <row r="69" spans="1:8" x14ac:dyDescent="0.25">
      <c r="A69" s="160" t="s">
        <v>174</v>
      </c>
      <c r="B69" s="140">
        <v>0.20833333333333334</v>
      </c>
      <c r="C69" s="161">
        <f t="shared" si="2"/>
        <v>712.5</v>
      </c>
      <c r="F69" s="160" t="s">
        <v>174</v>
      </c>
      <c r="G69" s="140">
        <v>0.20833333333333334</v>
      </c>
      <c r="H69" s="161">
        <f t="shared" si="3"/>
        <v>712.5</v>
      </c>
    </row>
    <row r="70" spans="1:8" ht="15.75" thickBot="1" x14ac:dyDescent="0.3">
      <c r="A70" s="162" t="s">
        <v>175</v>
      </c>
      <c r="B70" s="163">
        <v>0.20833333333333334</v>
      </c>
      <c r="C70" s="164">
        <f t="shared" si="2"/>
        <v>712.5</v>
      </c>
      <c r="F70" s="162" t="s">
        <v>175</v>
      </c>
      <c r="G70" s="163">
        <v>0.20833333333333334</v>
      </c>
      <c r="H70" s="164">
        <f t="shared" si="3"/>
        <v>712.5</v>
      </c>
    </row>
    <row r="71" spans="1:8" ht="15.75" thickBot="1" x14ac:dyDescent="0.3">
      <c r="A71" s="149" t="s">
        <v>177</v>
      </c>
      <c r="B71" s="150"/>
      <c r="C71" s="151">
        <f>SUM(C67:C70)</f>
        <v>2707.5</v>
      </c>
      <c r="F71" s="149" t="s">
        <v>177</v>
      </c>
      <c r="G71" s="150"/>
      <c r="H71" s="151">
        <f>SUM(H67:H70)</f>
        <v>2707.5</v>
      </c>
    </row>
    <row r="73" spans="1:8" x14ac:dyDescent="0.25">
      <c r="C73" s="147">
        <f>C63+C71</f>
        <v>23655</v>
      </c>
      <c r="H73" s="147">
        <f>H63+H71</f>
        <v>4132.5</v>
      </c>
    </row>
  </sheetData>
  <mergeCells count="2">
    <mergeCell ref="A2:D3"/>
    <mergeCell ref="F2:I3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D8DDA-BC7C-4EC1-A41D-F1EBBB69C3A0}">
  <sheetPr codeName="Planilha6"/>
  <dimension ref="A1:S49"/>
  <sheetViews>
    <sheetView showGridLines="0" zoomScaleNormal="100" workbookViewId="0">
      <selection activeCell="K23" sqref="K23"/>
    </sheetView>
  </sheetViews>
  <sheetFormatPr defaultRowHeight="15" x14ac:dyDescent="0.25"/>
  <cols>
    <col min="1" max="1" width="6.28515625" customWidth="1"/>
    <col min="2" max="2" width="10.7109375" customWidth="1"/>
    <col min="3" max="3" width="10.5703125" customWidth="1"/>
    <col min="4" max="4" width="5" customWidth="1"/>
    <col min="5" max="9" width="3.85546875" customWidth="1"/>
    <col min="10" max="10" width="4.140625" customWidth="1"/>
    <col min="11" max="11" width="7.85546875" customWidth="1"/>
    <col min="12" max="12" width="8.28515625" customWidth="1"/>
    <col min="13" max="13" width="11.85546875" customWidth="1"/>
    <col min="15" max="19" width="11.5703125" customWidth="1"/>
  </cols>
  <sheetData>
    <row r="1" spans="1:19" ht="15.75" x14ac:dyDescent="0.25">
      <c r="A1" s="492" t="s">
        <v>23</v>
      </c>
      <c r="B1" s="492"/>
      <c r="C1" s="492"/>
      <c r="D1" s="492"/>
      <c r="E1" s="492"/>
      <c r="F1" s="492"/>
      <c r="G1" s="492"/>
      <c r="H1" s="492"/>
      <c r="I1" s="492"/>
      <c r="J1" s="492"/>
      <c r="K1" s="492"/>
      <c r="L1" s="492"/>
      <c r="M1" s="492"/>
      <c r="N1" s="492"/>
      <c r="R1" s="186" t="s">
        <v>208</v>
      </c>
      <c r="S1" s="323" t="s">
        <v>381</v>
      </c>
    </row>
    <row r="2" spans="1:19" ht="15.75" x14ac:dyDescent="0.25">
      <c r="A2" s="29"/>
      <c r="R2" s="186" t="s">
        <v>85</v>
      </c>
    </row>
    <row r="3" spans="1:19" ht="12.75" customHeight="1" x14ac:dyDescent="0.25">
      <c r="A3" s="485" t="s">
        <v>24</v>
      </c>
      <c r="B3" s="486"/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</row>
    <row r="4" spans="1:19" ht="6" customHeight="1" x14ac:dyDescent="0.25">
      <c r="A4" s="30"/>
    </row>
    <row r="5" spans="1:19" ht="15" customHeight="1" x14ac:dyDescent="0.25">
      <c r="A5" s="477" t="s">
        <v>25</v>
      </c>
      <c r="B5" s="477"/>
      <c r="C5" s="477"/>
      <c r="D5" s="477"/>
      <c r="E5" s="477"/>
      <c r="F5" s="477"/>
      <c r="G5" s="477"/>
      <c r="H5" s="477" t="s">
        <v>27</v>
      </c>
      <c r="I5" s="477"/>
      <c r="J5" s="477"/>
      <c r="K5" s="477"/>
      <c r="L5" s="477" t="s">
        <v>29</v>
      </c>
      <c r="M5" s="477"/>
      <c r="N5" s="477"/>
    </row>
    <row r="6" spans="1:19" ht="24" customHeight="1" x14ac:dyDescent="0.25">
      <c r="A6" s="475" t="s">
        <v>26</v>
      </c>
      <c r="B6" s="475"/>
      <c r="C6" s="475"/>
      <c r="D6" s="475"/>
      <c r="E6" s="475"/>
      <c r="F6" s="475"/>
      <c r="G6" s="475"/>
      <c r="H6" s="487" t="s">
        <v>28</v>
      </c>
      <c r="I6" s="487"/>
      <c r="J6" s="487"/>
      <c r="K6" s="487"/>
      <c r="L6" s="478"/>
      <c r="M6" s="478"/>
      <c r="N6" s="478"/>
    </row>
    <row r="7" spans="1:19" ht="24.75" customHeight="1" x14ac:dyDescent="0.25">
      <c r="A7" s="477" t="s">
        <v>30</v>
      </c>
      <c r="B7" s="477"/>
      <c r="C7" s="477"/>
      <c r="D7" s="477"/>
      <c r="E7" s="477"/>
      <c r="F7" s="477"/>
      <c r="G7" s="477"/>
      <c r="H7" s="473" t="s">
        <v>32</v>
      </c>
      <c r="I7" s="473"/>
      <c r="J7" s="473"/>
      <c r="K7" s="473"/>
      <c r="L7" s="477" t="s">
        <v>35</v>
      </c>
      <c r="M7" s="477"/>
      <c r="N7" s="477"/>
    </row>
    <row r="8" spans="1:19" ht="16.5" customHeight="1" x14ac:dyDescent="0.25">
      <c r="A8" s="489" t="s">
        <v>31</v>
      </c>
      <c r="B8" s="489"/>
      <c r="C8" s="489"/>
      <c r="D8" s="489"/>
      <c r="E8" s="489"/>
      <c r="F8" s="489"/>
      <c r="G8" s="489"/>
      <c r="H8" s="488" t="s">
        <v>33</v>
      </c>
      <c r="I8" s="488"/>
      <c r="J8" s="488"/>
      <c r="K8" s="488"/>
      <c r="L8" s="490" t="s">
        <v>36</v>
      </c>
      <c r="M8" s="490"/>
      <c r="N8" s="490"/>
    </row>
    <row r="9" spans="1:19" ht="16.5" customHeight="1" x14ac:dyDescent="0.25">
      <c r="A9" s="475"/>
      <c r="B9" s="475"/>
      <c r="C9" s="475"/>
      <c r="D9" s="475"/>
      <c r="E9" s="475"/>
      <c r="F9" s="475"/>
      <c r="G9" s="475"/>
      <c r="H9" s="487" t="s">
        <v>34</v>
      </c>
      <c r="I9" s="487"/>
      <c r="J9" s="487"/>
      <c r="K9" s="487"/>
      <c r="L9" s="491"/>
      <c r="M9" s="491"/>
      <c r="N9" s="491"/>
    </row>
    <row r="10" spans="1:19" ht="16.5" customHeight="1" x14ac:dyDescent="0.25">
      <c r="A10" s="477" t="s">
        <v>37</v>
      </c>
      <c r="B10" s="477"/>
      <c r="C10" s="477"/>
      <c r="D10" s="477"/>
      <c r="E10" s="477"/>
      <c r="F10" s="477"/>
      <c r="G10" s="477"/>
      <c r="H10" s="477"/>
      <c r="I10" s="477"/>
      <c r="J10" s="477"/>
      <c r="K10" s="477"/>
      <c r="L10" s="477" t="s">
        <v>39</v>
      </c>
      <c r="M10" s="477"/>
      <c r="N10" s="477"/>
    </row>
    <row r="11" spans="1:19" ht="33" customHeight="1" x14ac:dyDescent="0.25">
      <c r="A11" s="475" t="s">
        <v>38</v>
      </c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8"/>
      <c r="M11" s="478"/>
      <c r="N11" s="478"/>
    </row>
    <row r="12" spans="1:19" ht="6" customHeight="1" x14ac:dyDescent="0.25">
      <c r="A12" s="30"/>
    </row>
    <row r="13" spans="1:19" ht="12.75" customHeight="1" x14ac:dyDescent="0.25">
      <c r="A13" s="485" t="s">
        <v>40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6"/>
    </row>
    <row r="14" spans="1:19" ht="6" customHeight="1" x14ac:dyDescent="0.25">
      <c r="A14" s="32"/>
    </row>
    <row r="15" spans="1:19" ht="24.75" customHeight="1" x14ac:dyDescent="0.25">
      <c r="A15" s="477" t="s">
        <v>41</v>
      </c>
      <c r="B15" s="477"/>
      <c r="C15" s="473" t="s">
        <v>42</v>
      </c>
      <c r="D15" s="473"/>
      <c r="E15" s="473"/>
      <c r="F15" s="473"/>
      <c r="G15" s="473"/>
      <c r="H15" s="473"/>
      <c r="I15" s="473" t="s">
        <v>43</v>
      </c>
      <c r="J15" s="473"/>
      <c r="K15" s="477" t="s">
        <v>44</v>
      </c>
      <c r="L15" s="477"/>
      <c r="M15" s="471" t="s">
        <v>45</v>
      </c>
      <c r="N15" s="471"/>
    </row>
    <row r="16" spans="1:19" ht="45.75" customHeight="1" x14ac:dyDescent="0.25">
      <c r="A16" s="474" t="str">
        <f>VLOOKUP(S1,Planejamento!A1:AD79,6,FALSE)</f>
        <v>Iniciação Profissional</v>
      </c>
      <c r="B16" s="475"/>
      <c r="C16" s="474" t="str">
        <f>VLOOKUP(S1,Planejamento!A1:AD79,2,FALSE)</f>
        <v>Informática Básica</v>
      </c>
      <c r="D16" s="475"/>
      <c r="E16" s="475"/>
      <c r="F16" s="475"/>
      <c r="G16" s="475"/>
      <c r="H16" s="475"/>
      <c r="I16" s="480">
        <f>VLOOKUP(S1,Planejamento!A1:AD79,8,FALSE)</f>
        <v>2.5</v>
      </c>
      <c r="J16" s="481"/>
      <c r="K16" s="482" t="str">
        <f>VLOOKUP(S1,Planejamento!A1:AD79,5,FALSE)</f>
        <v>Tecnologia da Informação</v>
      </c>
      <c r="L16" s="483"/>
      <c r="M16" s="472" t="s">
        <v>46</v>
      </c>
      <c r="N16" s="472"/>
    </row>
    <row r="17" spans="1:14" ht="6" customHeight="1" x14ac:dyDescent="0.25">
      <c r="A17" s="30"/>
    </row>
    <row r="18" spans="1:14" ht="12.75" customHeight="1" x14ac:dyDescent="0.25">
      <c r="A18" s="468" t="s">
        <v>47</v>
      </c>
      <c r="B18" s="469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</row>
    <row r="19" spans="1:14" ht="6" customHeight="1" x14ac:dyDescent="0.25">
      <c r="A19" s="30"/>
    </row>
    <row r="20" spans="1:14" ht="15" customHeight="1" x14ac:dyDescent="0.25">
      <c r="A20" s="484" t="s">
        <v>48</v>
      </c>
      <c r="B20" s="479" t="s">
        <v>49</v>
      </c>
      <c r="C20" s="479"/>
      <c r="D20" s="479" t="s">
        <v>50</v>
      </c>
      <c r="E20" s="479"/>
      <c r="F20" s="479"/>
      <c r="G20" s="479"/>
      <c r="H20" s="479"/>
      <c r="I20" s="479"/>
      <c r="J20" s="479"/>
      <c r="K20" s="479" t="s">
        <v>51</v>
      </c>
      <c r="L20" s="479"/>
      <c r="M20" s="479" t="s">
        <v>52</v>
      </c>
      <c r="N20" s="479" t="s">
        <v>53</v>
      </c>
    </row>
    <row r="21" spans="1:14" x14ac:dyDescent="0.25">
      <c r="A21" s="484"/>
      <c r="B21" s="479"/>
      <c r="C21" s="479"/>
      <c r="D21" s="479"/>
      <c r="E21" s="479"/>
      <c r="F21" s="479"/>
      <c r="G21" s="479"/>
      <c r="H21" s="479"/>
      <c r="I21" s="479"/>
      <c r="J21" s="479"/>
      <c r="K21" s="479"/>
      <c r="L21" s="479"/>
      <c r="M21" s="479"/>
      <c r="N21" s="479"/>
    </row>
    <row r="22" spans="1:14" x14ac:dyDescent="0.25">
      <c r="A22" s="484"/>
      <c r="B22" s="33" t="s">
        <v>54</v>
      </c>
      <c r="C22" s="33" t="s">
        <v>55</v>
      </c>
      <c r="D22" s="33" t="s">
        <v>56</v>
      </c>
      <c r="E22" s="33" t="s">
        <v>57</v>
      </c>
      <c r="F22" s="33" t="s">
        <v>58</v>
      </c>
      <c r="G22" s="33" t="s">
        <v>59</v>
      </c>
      <c r="H22" s="33" t="s">
        <v>60</v>
      </c>
      <c r="I22" s="33" t="s">
        <v>61</v>
      </c>
      <c r="J22" s="33" t="s">
        <v>62</v>
      </c>
      <c r="K22" s="33" t="s">
        <v>54</v>
      </c>
      <c r="L22" s="33" t="s">
        <v>55</v>
      </c>
      <c r="M22" s="479"/>
      <c r="N22" s="479"/>
    </row>
    <row r="23" spans="1:14" x14ac:dyDescent="0.25">
      <c r="A23" s="34">
        <v>1</v>
      </c>
      <c r="B23" s="192">
        <f>VLOOKUP(S1,Planejamento!A1:AD79,19,FALSE)</f>
        <v>45874</v>
      </c>
      <c r="C23" s="192">
        <f>VLOOKUP(S1,Planejamento!A1:AD79,20,FALSE)</f>
        <v>45939</v>
      </c>
      <c r="D23" s="188" t="str">
        <f>IF(VLOOKUP($S$1,Planejamento!$A$1:$AD$79,9,FALSE)="X","X","")</f>
        <v/>
      </c>
      <c r="E23" s="188" t="str">
        <f>IF(VLOOKUP($S$1,Planejamento!$A$1:$AD$79,10,FALSE)="X","X","")</f>
        <v>X</v>
      </c>
      <c r="F23" s="188" t="str">
        <f>IF(VLOOKUP($S$1,Planejamento!$A$1:$AD$79,11,FALSE)="X","X","")</f>
        <v/>
      </c>
      <c r="G23" s="188" t="str">
        <f>IF(VLOOKUP($S$1,Planejamento!$A$1:$AD$79,12,FALSE)="X","X","")</f>
        <v>X</v>
      </c>
      <c r="H23" s="188" t="str">
        <f>IF(VLOOKUP($S$1,Planejamento!$A$1:$AD$79,13,FALSE)="X","X","")</f>
        <v/>
      </c>
      <c r="I23" s="36"/>
      <c r="J23" s="36"/>
      <c r="K23" s="191">
        <f>VLOOKUP(S1,Planejamento!A1:AD79,15,FALSE)</f>
        <v>0.625</v>
      </c>
      <c r="L23" s="191">
        <f>VLOOKUP(S1,Planejamento!A1:AD79,16,FALSE)</f>
        <v>0.75</v>
      </c>
      <c r="M23" s="189">
        <f>VLOOKUP(S1,Planejamento!A1:AD79,22,FALSE)</f>
        <v>16</v>
      </c>
      <c r="N23" s="37" t="s">
        <v>63</v>
      </c>
    </row>
    <row r="24" spans="1:14" x14ac:dyDescent="0.25">
      <c r="A24" s="34">
        <v>2</v>
      </c>
      <c r="B24" s="190" t="str">
        <f>IF($S$2&lt;&gt;"",VLOOKUP($S$2,Planejamento!$A$1:$AD$79,19,FALSE),"")</f>
        <v/>
      </c>
      <c r="C24" s="190" t="str">
        <f>IF($S$2&lt;&gt;"",VLOOKUP($S$2,Planejamento!$A$1:$AD$79,20,FALSE),"")</f>
        <v/>
      </c>
      <c r="D24" s="190" t="str">
        <f>IF($S$2&lt;&gt;"",IF(VLOOKUP($S$2,Planejamento!$A$1:$AD$79,9,FALSE)="X","X",""),"")</f>
        <v/>
      </c>
      <c r="E24" s="190" t="str">
        <f>IF($S$2&lt;&gt;"",IF(VLOOKUP($S$2,Planejamento!$A$1:$AD$79,10,FALSE)="X","X",""),"")</f>
        <v/>
      </c>
      <c r="F24" s="190" t="str">
        <f>IF($S$2&lt;&gt;"",IF(VLOOKUP($S$2,Planejamento!$A$1:$AD$79,11,FALSE)="X","X",""),"")</f>
        <v/>
      </c>
      <c r="G24" s="190" t="str">
        <f>IF($S$2&lt;&gt;"",IF(VLOOKUP($S$2,Planejamento!$A$1:$AD$79,12,FALSE)="X","X",""),"")</f>
        <v/>
      </c>
      <c r="H24" s="190" t="str">
        <f>IF($S$2&lt;&gt;"",IF(VLOOKUP($S$2,Planejamento!$A$1:$AD$79,13,FALSE)="X","X",""),"")</f>
        <v/>
      </c>
      <c r="I24" s="35"/>
      <c r="J24" s="35"/>
      <c r="K24" s="191" t="str">
        <f>IF($S$2&lt;&gt;"",VLOOKUP($S$2,Planejamento!$A$1:$AD$79,15,FALSE),"")</f>
        <v/>
      </c>
      <c r="L24" s="191" t="str">
        <f>IF($S$2&lt;&gt;"",VLOOKUP($S$2,Planejamento!$A$1:$AD$79,16,FALSE),"")</f>
        <v/>
      </c>
      <c r="M24" s="188" t="str">
        <f>IF($S$2&lt;&gt;"",VLOOKUP($S$2,Planejamento!$A$1:$AD$79,22,FALSE),"")</f>
        <v/>
      </c>
      <c r="N24" s="37" t="s">
        <v>63</v>
      </c>
    </row>
    <row r="25" spans="1:14" x14ac:dyDescent="0.25">
      <c r="A25" s="34">
        <v>3</v>
      </c>
      <c r="B25" s="37" t="s">
        <v>63</v>
      </c>
      <c r="C25" s="37" t="s">
        <v>63</v>
      </c>
      <c r="D25" s="36"/>
      <c r="E25" s="36"/>
      <c r="F25" s="36"/>
      <c r="G25" s="36"/>
      <c r="H25" s="36"/>
      <c r="I25" s="36"/>
      <c r="J25" s="36"/>
      <c r="K25" s="187" t="s">
        <v>63</v>
      </c>
      <c r="L25" s="187" t="s">
        <v>63</v>
      </c>
      <c r="M25" s="37" t="s">
        <v>63</v>
      </c>
      <c r="N25" s="37" t="s">
        <v>63</v>
      </c>
    </row>
    <row r="26" spans="1:14" x14ac:dyDescent="0.25">
      <c r="A26" s="34">
        <v>4</v>
      </c>
      <c r="B26" s="37" t="s">
        <v>63</v>
      </c>
      <c r="C26" s="37" t="s">
        <v>63</v>
      </c>
      <c r="D26" s="36"/>
      <c r="E26" s="36"/>
      <c r="F26" s="36"/>
      <c r="G26" s="36"/>
      <c r="H26" s="36"/>
      <c r="I26" s="36"/>
      <c r="J26" s="36"/>
      <c r="K26" s="187" t="s">
        <v>63</v>
      </c>
      <c r="L26" s="187" t="s">
        <v>63</v>
      </c>
      <c r="M26" s="37" t="s">
        <v>63</v>
      </c>
      <c r="N26" s="37" t="s">
        <v>63</v>
      </c>
    </row>
    <row r="27" spans="1:14" ht="6" customHeight="1" x14ac:dyDescent="0.25">
      <c r="A27" s="30"/>
    </row>
    <row r="28" spans="1:14" x14ac:dyDescent="0.25">
      <c r="A28" s="476" t="s">
        <v>64</v>
      </c>
      <c r="B28" s="476"/>
      <c r="C28" s="476"/>
      <c r="D28" s="476"/>
      <c r="E28" s="476"/>
      <c r="F28" s="476"/>
    </row>
    <row r="29" spans="1:14" x14ac:dyDescent="0.25">
      <c r="A29" s="30"/>
    </row>
    <row r="30" spans="1:14" ht="12.75" customHeight="1" x14ac:dyDescent="0.25">
      <c r="A30" s="468" t="s">
        <v>65</v>
      </c>
      <c r="B30" s="469"/>
      <c r="C30" s="469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</row>
    <row r="31" spans="1:14" ht="6" customHeight="1" x14ac:dyDescent="0.25">
      <c r="A31" s="30"/>
    </row>
    <row r="32" spans="1:14" x14ac:dyDescent="0.25">
      <c r="A32" s="470" t="s">
        <v>25</v>
      </c>
      <c r="B32" s="470"/>
      <c r="C32" s="470"/>
      <c r="D32" s="470"/>
      <c r="E32" s="470"/>
      <c r="F32" s="470"/>
      <c r="G32" s="470"/>
      <c r="I32" s="470" t="s">
        <v>39</v>
      </c>
      <c r="J32" s="470"/>
      <c r="K32" s="470"/>
      <c r="L32" s="470"/>
      <c r="M32" s="470"/>
      <c r="N32" s="470"/>
    </row>
    <row r="33" spans="1:14" x14ac:dyDescent="0.25">
      <c r="A33" s="30"/>
    </row>
    <row r="34" spans="1:14" x14ac:dyDescent="0.25">
      <c r="A34" s="38" t="s">
        <v>68</v>
      </c>
      <c r="B34" s="464" t="s">
        <v>69</v>
      </c>
      <c r="C34" s="464"/>
      <c r="D34" s="464"/>
      <c r="E34" s="464"/>
      <c r="F34" s="464"/>
      <c r="G34" s="464"/>
      <c r="I34" s="464" t="s">
        <v>68</v>
      </c>
      <c r="J34" s="464"/>
      <c r="K34" s="465"/>
      <c r="L34" s="465"/>
      <c r="M34" s="465"/>
      <c r="N34" s="465"/>
    </row>
    <row r="35" spans="1:14" x14ac:dyDescent="0.25">
      <c r="A35" s="31"/>
      <c r="I35" s="31"/>
    </row>
    <row r="36" spans="1:14" x14ac:dyDescent="0.25">
      <c r="A36" s="38" t="s">
        <v>70</v>
      </c>
      <c r="B36" s="464" t="s">
        <v>71</v>
      </c>
      <c r="C36" s="464"/>
      <c r="D36" s="464"/>
      <c r="E36" s="464"/>
      <c r="F36" s="464"/>
      <c r="G36" s="464"/>
      <c r="I36" s="464" t="s">
        <v>70</v>
      </c>
      <c r="J36" s="464"/>
      <c r="K36" s="465"/>
      <c r="L36" s="465"/>
      <c r="M36" s="465"/>
      <c r="N36" s="465"/>
    </row>
    <row r="37" spans="1:14" x14ac:dyDescent="0.25">
      <c r="A37" s="31"/>
    </row>
    <row r="38" spans="1:14" x14ac:dyDescent="0.25">
      <c r="A38" s="464" t="s">
        <v>66</v>
      </c>
      <c r="B38" s="464"/>
      <c r="C38" s="465"/>
      <c r="D38" s="465"/>
      <c r="E38" s="465"/>
      <c r="F38" s="465"/>
      <c r="G38" s="465"/>
      <c r="I38" s="464" t="s">
        <v>66</v>
      </c>
      <c r="J38" s="464"/>
      <c r="K38" s="464"/>
      <c r="L38" s="465"/>
      <c r="M38" s="465"/>
      <c r="N38" s="465"/>
    </row>
    <row r="39" spans="1:14" x14ac:dyDescent="0.25">
      <c r="A39" s="31"/>
    </row>
    <row r="40" spans="1:14" x14ac:dyDescent="0.25">
      <c r="A40" s="38" t="s">
        <v>67</v>
      </c>
      <c r="B40" s="466">
        <f ca="1">TODAY()</f>
        <v>45859</v>
      </c>
      <c r="C40" s="466"/>
      <c r="D40" s="466"/>
      <c r="E40" s="466"/>
      <c r="F40" s="466"/>
      <c r="G40" s="466"/>
      <c r="I40" s="467" t="s">
        <v>67</v>
      </c>
      <c r="J40" s="467"/>
      <c r="K40" s="465"/>
      <c r="L40" s="465"/>
      <c r="M40" s="465"/>
      <c r="N40" s="465"/>
    </row>
    <row r="41" spans="1:14" x14ac:dyDescent="0.25">
      <c r="A41" s="31"/>
    </row>
    <row r="42" spans="1:14" x14ac:dyDescent="0.25">
      <c r="A42" s="31"/>
    </row>
    <row r="43" spans="1:14" x14ac:dyDescent="0.25">
      <c r="A43" s="31"/>
    </row>
    <row r="44" spans="1:14" x14ac:dyDescent="0.25">
      <c r="A44" s="31"/>
    </row>
    <row r="45" spans="1:14" x14ac:dyDescent="0.25">
      <c r="A45" s="31"/>
    </row>
    <row r="46" spans="1:14" x14ac:dyDescent="0.25">
      <c r="A46" s="31"/>
    </row>
    <row r="47" spans="1:14" x14ac:dyDescent="0.25">
      <c r="A47" s="31"/>
    </row>
    <row r="48" spans="1:14" x14ac:dyDescent="0.25">
      <c r="A48" s="31"/>
    </row>
    <row r="49" spans="1:1" x14ac:dyDescent="0.25">
      <c r="A49" s="31"/>
    </row>
  </sheetData>
  <mergeCells count="54">
    <mergeCell ref="A1:N1"/>
    <mergeCell ref="A3:N3"/>
    <mergeCell ref="A5:G5"/>
    <mergeCell ref="A6:G6"/>
    <mergeCell ref="H5:K5"/>
    <mergeCell ref="L5:N5"/>
    <mergeCell ref="L6:N6"/>
    <mergeCell ref="A13:N13"/>
    <mergeCell ref="H6:K6"/>
    <mergeCell ref="H9:K9"/>
    <mergeCell ref="H8:K8"/>
    <mergeCell ref="H7:K7"/>
    <mergeCell ref="A7:G7"/>
    <mergeCell ref="A8:G9"/>
    <mergeCell ref="L8:N9"/>
    <mergeCell ref="L7:N7"/>
    <mergeCell ref="A28:F28"/>
    <mergeCell ref="L10:N10"/>
    <mergeCell ref="A10:K10"/>
    <mergeCell ref="A11:K11"/>
    <mergeCell ref="L11:N11"/>
    <mergeCell ref="N20:N22"/>
    <mergeCell ref="I15:J15"/>
    <mergeCell ref="I16:J16"/>
    <mergeCell ref="K15:L15"/>
    <mergeCell ref="K16:L16"/>
    <mergeCell ref="D20:J21"/>
    <mergeCell ref="K20:L21"/>
    <mergeCell ref="M20:M22"/>
    <mergeCell ref="A20:A22"/>
    <mergeCell ref="B20:C21"/>
    <mergeCell ref="A15:B15"/>
    <mergeCell ref="M15:N15"/>
    <mergeCell ref="M16:N16"/>
    <mergeCell ref="C15:H15"/>
    <mergeCell ref="C16:H16"/>
    <mergeCell ref="A18:N18"/>
    <mergeCell ref="A16:B16"/>
    <mergeCell ref="A30:N30"/>
    <mergeCell ref="A32:G32"/>
    <mergeCell ref="I32:N32"/>
    <mergeCell ref="B34:G34"/>
    <mergeCell ref="B36:G36"/>
    <mergeCell ref="K36:N36"/>
    <mergeCell ref="K34:N34"/>
    <mergeCell ref="A38:B38"/>
    <mergeCell ref="C38:G38"/>
    <mergeCell ref="B40:G40"/>
    <mergeCell ref="I36:J36"/>
    <mergeCell ref="I34:J34"/>
    <mergeCell ref="I38:K38"/>
    <mergeCell ref="I40:J40"/>
    <mergeCell ref="K40:N40"/>
    <mergeCell ref="L38:N38"/>
  </mergeCells>
  <phoneticPr fontId="23" type="noConversion"/>
  <pageMargins left="0.511811024" right="0.511811024" top="0.78740157499999996" bottom="0.78740157499999996" header="0.31496062000000002" footer="0.31496062000000002"/>
  <pageSetup paperSize="9" scale="99" orientation="portrait" r:id="rId1"/>
  <colBreaks count="1" manualBreakCount="1">
    <brk id="14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CE1DE-2BEE-4F38-990D-B9ACDE933AA3}">
  <sheetPr codeName="Planilha14"/>
  <dimension ref="A1:K35"/>
  <sheetViews>
    <sheetView zoomScaleNormal="100" workbookViewId="0">
      <selection activeCell="K1" sqref="K1"/>
    </sheetView>
  </sheetViews>
  <sheetFormatPr defaultRowHeight="18" x14ac:dyDescent="0.25"/>
  <cols>
    <col min="1" max="1" width="5.7109375" style="390" customWidth="1"/>
    <col min="2" max="6" width="15.42578125" style="390" customWidth="1"/>
    <col min="7" max="7" width="5.7109375" customWidth="1"/>
    <col min="8" max="11" width="11.5703125" customWidth="1"/>
  </cols>
  <sheetData>
    <row r="1" spans="1:11" ht="36.75" customHeight="1" x14ac:dyDescent="0.25">
      <c r="B1" s="494" t="s">
        <v>396</v>
      </c>
      <c r="C1" s="494"/>
      <c r="D1" s="494"/>
      <c r="E1" s="494"/>
      <c r="F1" s="494"/>
      <c r="J1" s="186" t="s">
        <v>208</v>
      </c>
      <c r="K1" s="323" t="s">
        <v>442</v>
      </c>
    </row>
    <row r="2" spans="1:11" ht="18" customHeight="1" x14ac:dyDescent="0.25">
      <c r="A2" s="389"/>
      <c r="B2" s="494"/>
      <c r="C2" s="494"/>
      <c r="D2" s="494"/>
      <c r="E2" s="494"/>
      <c r="F2" s="494"/>
      <c r="J2" s="186" t="s">
        <v>85</v>
      </c>
    </row>
    <row r="3" spans="1:11" x14ac:dyDescent="0.25">
      <c r="A3" s="391"/>
      <c r="B3" s="494"/>
      <c r="C3" s="494"/>
      <c r="D3" s="494"/>
      <c r="E3" s="494"/>
      <c r="F3" s="494"/>
    </row>
    <row r="4" spans="1:11" x14ac:dyDescent="0.25">
      <c r="A4" s="391"/>
    </row>
    <row r="5" spans="1:11" x14ac:dyDescent="0.25">
      <c r="A5" s="391"/>
    </row>
    <row r="6" spans="1:11" x14ac:dyDescent="0.25">
      <c r="A6" s="391"/>
    </row>
    <row r="7" spans="1:11" x14ac:dyDescent="0.25">
      <c r="A7" s="391"/>
    </row>
    <row r="8" spans="1:11" x14ac:dyDescent="0.25">
      <c r="A8" s="391"/>
    </row>
    <row r="9" spans="1:11" x14ac:dyDescent="0.25">
      <c r="A9" s="391"/>
    </row>
    <row r="10" spans="1:11" x14ac:dyDescent="0.25">
      <c r="A10" s="391"/>
    </row>
    <row r="11" spans="1:11" ht="25.5" customHeight="1" x14ac:dyDescent="0.25">
      <c r="B11" s="493" t="str">
        <f>VLOOKUP(K1,Planejamento!A1:AD79,6,FALSE)</f>
        <v>Aperfeiçoamento Profissional</v>
      </c>
      <c r="C11" s="493"/>
      <c r="D11" s="493"/>
      <c r="E11" s="493"/>
      <c r="F11" s="493"/>
    </row>
    <row r="12" spans="1:11" x14ac:dyDescent="0.25">
      <c r="B12" s="495" t="str">
        <f>VLOOKUP(K1,Planejamento!A1:AD79,2,FALSE)</f>
        <v>Planejamento Controle de Produção</v>
      </c>
      <c r="C12" s="495"/>
      <c r="D12" s="495"/>
      <c r="E12" s="495"/>
      <c r="F12" s="495"/>
    </row>
    <row r="13" spans="1:11" x14ac:dyDescent="0.25">
      <c r="B13" s="495"/>
      <c r="C13" s="495"/>
      <c r="D13" s="495"/>
      <c r="E13" s="495"/>
      <c r="F13" s="495"/>
    </row>
    <row r="14" spans="1:11" x14ac:dyDescent="0.25">
      <c r="B14" s="495"/>
      <c r="C14" s="495"/>
      <c r="D14" s="495"/>
      <c r="E14" s="495"/>
      <c r="F14" s="495"/>
    </row>
    <row r="15" spans="1:11" ht="120" customHeight="1" x14ac:dyDescent="0.25">
      <c r="A15" s="394"/>
      <c r="B15" s="495"/>
      <c r="C15" s="495"/>
      <c r="D15" s="495"/>
      <c r="E15" s="495"/>
      <c r="F15" s="495"/>
    </row>
    <row r="16" spans="1:11" ht="18" customHeight="1" x14ac:dyDescent="0.25">
      <c r="A16" s="394"/>
      <c r="B16" s="394"/>
      <c r="C16" s="394"/>
      <c r="D16" s="394"/>
      <c r="E16" s="394"/>
    </row>
    <row r="17" spans="1:6" ht="18" customHeight="1" x14ac:dyDescent="0.25">
      <c r="A17" s="394"/>
      <c r="B17" s="497" t="s">
        <v>405</v>
      </c>
      <c r="C17" s="497"/>
      <c r="D17" s="394"/>
      <c r="E17" s="497" t="s">
        <v>406</v>
      </c>
      <c r="F17" s="497"/>
    </row>
    <row r="18" spans="1:6" x14ac:dyDescent="0.25">
      <c r="B18" s="498">
        <f>VLOOKUP(K1,Planejamento!A1:AD79,19,FALSE)</f>
        <v>45855</v>
      </c>
      <c r="C18" s="498"/>
      <c r="E18" s="498">
        <f>VLOOKUP(K1,Planejamento!A1:AD79,20,FALSE)</f>
        <v>45902</v>
      </c>
      <c r="F18" s="498"/>
    </row>
    <row r="19" spans="1:6" x14ac:dyDescent="0.25">
      <c r="A19" s="391"/>
    </row>
    <row r="20" spans="1:6" x14ac:dyDescent="0.25">
      <c r="A20" s="391"/>
      <c r="E20" s="393"/>
    </row>
    <row r="21" spans="1:6" x14ac:dyDescent="0.25">
      <c r="A21" s="391"/>
      <c r="C21" s="392"/>
    </row>
    <row r="22" spans="1:6" x14ac:dyDescent="0.25">
      <c r="A22" s="391"/>
    </row>
    <row r="23" spans="1:6" x14ac:dyDescent="0.25">
      <c r="A23" s="391"/>
    </row>
    <row r="24" spans="1:6" x14ac:dyDescent="0.25">
      <c r="A24" s="391"/>
    </row>
    <row r="25" spans="1:6" x14ac:dyDescent="0.25">
      <c r="A25" s="391"/>
    </row>
    <row r="26" spans="1:6" x14ac:dyDescent="0.25">
      <c r="A26" s="391"/>
    </row>
    <row r="27" spans="1:6" x14ac:dyDescent="0.25">
      <c r="A27" s="391"/>
    </row>
    <row r="30" spans="1:6" ht="18" customHeight="1" x14ac:dyDescent="0.25">
      <c r="B30" s="496" t="s">
        <v>403</v>
      </c>
      <c r="C30" s="496"/>
      <c r="D30" s="496"/>
      <c r="E30" s="496"/>
      <c r="F30" s="496"/>
    </row>
    <row r="31" spans="1:6" ht="18" customHeight="1" x14ac:dyDescent="0.25">
      <c r="B31" s="493" t="s">
        <v>404</v>
      </c>
      <c r="C31" s="493"/>
      <c r="D31" s="493"/>
      <c r="E31" s="493"/>
      <c r="F31" s="493"/>
    </row>
    <row r="32" spans="1:6" ht="18" customHeight="1" x14ac:dyDescent="0.25">
      <c r="B32" s="493"/>
      <c r="C32" s="493"/>
      <c r="D32" s="493"/>
      <c r="E32" s="493"/>
      <c r="F32" s="493"/>
    </row>
    <row r="33" spans="2:6" ht="18" customHeight="1" x14ac:dyDescent="0.25">
      <c r="B33" s="397"/>
      <c r="C33" s="397"/>
      <c r="D33" s="397"/>
      <c r="E33" s="398"/>
      <c r="F33" s="399"/>
    </row>
    <row r="35" spans="2:6" x14ac:dyDescent="0.25">
      <c r="E35" s="398" t="s">
        <v>410</v>
      </c>
      <c r="F35" s="399" t="str">
        <f>VLOOKUP(K1,Planejamento!A1:AE79,31,FALSE)</f>
        <v>Gratuidade</v>
      </c>
    </row>
  </sheetData>
  <mergeCells count="9">
    <mergeCell ref="B31:F32"/>
    <mergeCell ref="B1:F3"/>
    <mergeCell ref="B12:F15"/>
    <mergeCell ref="B30:F30"/>
    <mergeCell ref="B17:C17"/>
    <mergeCell ref="B18:C18"/>
    <mergeCell ref="E18:F18"/>
    <mergeCell ref="E17:F17"/>
    <mergeCell ref="B11:F11"/>
  </mergeCells>
  <pageMargins left="0.511811024" right="0.511811024" top="0.31" bottom="0.3" header="0.31496062000000002" footer="0.31496062000000002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38EFCB-D93E-4FE6-B912-D092D57901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</vt:i4>
      </vt:variant>
    </vt:vector>
  </HeadingPairs>
  <TitlesOfParts>
    <vt:vector size="17" baseType="lpstr">
      <vt:lpstr>Resumo</vt:lpstr>
      <vt:lpstr>Planejamento</vt:lpstr>
      <vt:lpstr>Salas</vt:lpstr>
      <vt:lpstr>Controle_salas</vt:lpstr>
      <vt:lpstr>Horarios Julho</vt:lpstr>
      <vt:lpstr>Valor Executado</vt:lpstr>
      <vt:lpstr>RH </vt:lpstr>
      <vt:lpstr>Insumos</vt:lpstr>
      <vt:lpstr>Planilha1</vt:lpstr>
      <vt:lpstr>Planejamento 1ºSem</vt:lpstr>
      <vt:lpstr>Calendário</vt:lpstr>
      <vt:lpstr>BANDA</vt:lpstr>
      <vt:lpstr>Dados de Treinamento</vt:lpstr>
      <vt:lpstr>CAPA</vt:lpstr>
      <vt:lpstr>CAPA!Area_de_impressao</vt:lpstr>
      <vt:lpstr>'Dados de Treinamento'!Area_de_impressao</vt:lpstr>
      <vt:lpstr>'Dados de Treinamento'!Texto40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Anna Moura</cp:lastModifiedBy>
  <cp:lastPrinted>2025-07-17T14:56:33Z</cp:lastPrinted>
  <dcterms:created xsi:type="dcterms:W3CDTF">2015-06-05T18:19:34Z</dcterms:created>
  <dcterms:modified xsi:type="dcterms:W3CDTF">2025-07-21T16:06:11Z</dcterms:modified>
</cp:coreProperties>
</file>