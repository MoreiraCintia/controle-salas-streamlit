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SVR-ANMOURA\Secretaria\Secretaria\Cursos 2025\Planejamento\"/>
    </mc:Choice>
  </mc:AlternateContent>
  <xr:revisionPtr revIDLastSave="0" documentId="13_ncr:1_{C8438E6A-2B4A-4926-A409-FB3DA151DF55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Resumo" sheetId="21" state="hidden" r:id="rId1"/>
    <sheet name="Planejamento" sheetId="12" r:id="rId2"/>
    <sheet name="Horarios Julho" sheetId="26" state="hidden" r:id="rId3"/>
    <sheet name="Valor Executado" sheetId="23" state="hidden" r:id="rId4"/>
    <sheet name="RH " sheetId="24" state="hidden" r:id="rId5"/>
    <sheet name="Insumos" sheetId="25" state="hidden" r:id="rId6"/>
    <sheet name="Planilha1" sheetId="19" state="hidden" r:id="rId7"/>
    <sheet name="Planejamento 1ºSem" sheetId="18" state="hidden" r:id="rId8"/>
    <sheet name="Calendário" sheetId="15" state="hidden" r:id="rId9"/>
    <sheet name="BANDA" sheetId="16" state="hidden" r:id="rId10"/>
    <sheet name="Dados de Treinamento" sheetId="14" state="hidden" r:id="rId11"/>
    <sheet name="CAPA" sheetId="28" r:id="rId12"/>
  </sheets>
  <definedNames>
    <definedName name="_xlnm._FilterDatabase" localSheetId="1" hidden="1">Planejamento!#REF!</definedName>
    <definedName name="_xlnm._FilterDatabase" localSheetId="7" hidden="1">'Planejamento 1ºSem'!$A$1:$AB$1</definedName>
    <definedName name="_xlnm.Print_Area" localSheetId="11">CAPA!$A$1:$G$36</definedName>
    <definedName name="_xlnm.Print_Area" localSheetId="10">'Dados de Treinamento'!$A$1:$N$40</definedName>
    <definedName name="Texto40" localSheetId="10">'Dados de Treinamento'!$A$23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12" l="1"/>
  <c r="Q48" i="12"/>
  <c r="R48" i="12" s="1"/>
  <c r="X48" i="12"/>
  <c r="AE48" i="12"/>
  <c r="T48" i="12" l="1"/>
  <c r="AB48" i="12" s="1"/>
  <c r="A18" i="23"/>
  <c r="A25" i="23"/>
  <c r="A48" i="23"/>
  <c r="A49" i="23"/>
  <c r="A61" i="23"/>
  <c r="AE2" i="12"/>
  <c r="AE3" i="12"/>
  <c r="AE4" i="12"/>
  <c r="AE5" i="12"/>
  <c r="AE6" i="12"/>
  <c r="AE7" i="12"/>
  <c r="AE8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E37" i="12"/>
  <c r="AE38" i="12"/>
  <c r="AE39" i="12"/>
  <c r="AE40" i="12"/>
  <c r="AE41" i="12"/>
  <c r="AE42" i="12"/>
  <c r="AE43" i="12"/>
  <c r="AE44" i="12"/>
  <c r="AE45" i="12"/>
  <c r="AE46" i="12"/>
  <c r="AE47" i="12"/>
  <c r="AE49" i="12"/>
  <c r="AE50" i="12"/>
  <c r="AE51" i="12"/>
  <c r="AE52" i="12"/>
  <c r="AE53" i="12"/>
  <c r="AE54" i="12"/>
  <c r="AE55" i="12"/>
  <c r="AE56" i="12"/>
  <c r="AE57" i="12"/>
  <c r="AE58" i="12"/>
  <c r="AE59" i="12"/>
  <c r="AE60" i="12"/>
  <c r="AE61" i="12"/>
  <c r="AE62" i="12"/>
  <c r="AE63" i="12"/>
  <c r="AE64" i="12"/>
  <c r="AE65" i="12"/>
  <c r="AE66" i="12"/>
  <c r="AE67" i="12"/>
  <c r="AE68" i="12"/>
  <c r="AE69" i="12"/>
  <c r="AE70" i="12"/>
  <c r="AE71" i="12"/>
  <c r="AE72" i="12"/>
  <c r="AE73" i="12"/>
  <c r="AE74" i="12"/>
  <c r="AE75" i="12"/>
  <c r="AE76" i="12"/>
  <c r="AE77" i="12"/>
  <c r="AE78" i="12"/>
  <c r="AE79" i="12"/>
  <c r="I47" i="24" l="1"/>
  <c r="I48" i="24"/>
  <c r="I46" i="24"/>
  <c r="H48" i="24"/>
  <c r="H47" i="24"/>
  <c r="H46" i="24"/>
  <c r="G48" i="24"/>
  <c r="G47" i="24"/>
  <c r="G46" i="24"/>
  <c r="V80" i="12" l="1"/>
  <c r="AC80" i="12"/>
  <c r="AD80" i="12"/>
  <c r="A65" i="12"/>
  <c r="N65" i="12"/>
  <c r="Q65" i="12"/>
  <c r="R65" i="12" s="1"/>
  <c r="X65" i="12"/>
  <c r="AB65" i="12" l="1"/>
  <c r="A41" i="12"/>
  <c r="N41" i="12"/>
  <c r="Q41" i="12"/>
  <c r="R41" i="12" s="1"/>
  <c r="X41" i="12"/>
  <c r="A45" i="12"/>
  <c r="N45" i="12"/>
  <c r="Q45" i="12"/>
  <c r="R45" i="12" s="1"/>
  <c r="AB45" i="12" s="1"/>
  <c r="X45" i="12"/>
  <c r="N51" i="12"/>
  <c r="Q51" i="12"/>
  <c r="R51" i="12" s="1"/>
  <c r="X51" i="12"/>
  <c r="A71" i="12"/>
  <c r="N71" i="12"/>
  <c r="Q71" i="12"/>
  <c r="R71" i="12" s="1"/>
  <c r="X71" i="12"/>
  <c r="A58" i="12"/>
  <c r="N58" i="12"/>
  <c r="Q58" i="12"/>
  <c r="R58" i="12" s="1"/>
  <c r="X58" i="12"/>
  <c r="A59" i="12"/>
  <c r="N59" i="12"/>
  <c r="Q59" i="12"/>
  <c r="R59" i="12" s="1"/>
  <c r="X59" i="12"/>
  <c r="A44" i="12"/>
  <c r="A44" i="23" s="1"/>
  <c r="A67" i="12"/>
  <c r="N44" i="12"/>
  <c r="AB44" i="12" s="1"/>
  <c r="N67" i="12"/>
  <c r="N74" i="12"/>
  <c r="Q44" i="12"/>
  <c r="R44" i="12" s="1"/>
  <c r="Q67" i="12"/>
  <c r="R67" i="12" s="1"/>
  <c r="Q74" i="12"/>
  <c r="R74" i="12" s="1"/>
  <c r="X44" i="12"/>
  <c r="X67" i="12"/>
  <c r="X74" i="12"/>
  <c r="A62" i="12"/>
  <c r="A57" i="12"/>
  <c r="A69" i="12"/>
  <c r="N62" i="12"/>
  <c r="N57" i="12"/>
  <c r="N69" i="12"/>
  <c r="Q62" i="12"/>
  <c r="R62" i="12" s="1"/>
  <c r="Q57" i="12"/>
  <c r="R57" i="12" s="1"/>
  <c r="Q69" i="12"/>
  <c r="R69" i="12" s="1"/>
  <c r="X62" i="12"/>
  <c r="X57" i="12"/>
  <c r="X69" i="12"/>
  <c r="A56" i="12"/>
  <c r="A73" i="12"/>
  <c r="A68" i="12"/>
  <c r="A77" i="12"/>
  <c r="A42" i="12"/>
  <c r="N56" i="12"/>
  <c r="N73" i="12"/>
  <c r="N68" i="12"/>
  <c r="N77" i="12"/>
  <c r="N42" i="12"/>
  <c r="Q56" i="12"/>
  <c r="R56" i="12" s="1"/>
  <c r="Q73" i="12"/>
  <c r="R73" i="12" s="1"/>
  <c r="Q68" i="12"/>
  <c r="R68" i="12" s="1"/>
  <c r="AB68" i="12" s="1"/>
  <c r="Q77" i="12"/>
  <c r="R77" i="12" s="1"/>
  <c r="Q42" i="12"/>
  <c r="R42" i="12" s="1"/>
  <c r="X56" i="12"/>
  <c r="X73" i="12"/>
  <c r="X68" i="12"/>
  <c r="X77" i="12"/>
  <c r="X42" i="12"/>
  <c r="F20" i="21"/>
  <c r="A42" i="23" l="1"/>
  <c r="A43" i="23"/>
  <c r="A45" i="23"/>
  <c r="A62" i="23"/>
  <c r="A68" i="23"/>
  <c r="A69" i="23"/>
  <c r="A46" i="23"/>
  <c r="A47" i="23"/>
  <c r="A74" i="23"/>
  <c r="A57" i="23"/>
  <c r="A59" i="23"/>
  <c r="A60" i="23"/>
  <c r="A58" i="23"/>
  <c r="AB41" i="12"/>
  <c r="T51" i="12"/>
  <c r="AB51" i="12" s="1"/>
  <c r="T71" i="12"/>
  <c r="AB71" i="12" s="1"/>
  <c r="T58" i="12"/>
  <c r="AB58" i="12" s="1"/>
  <c r="AB59" i="12"/>
  <c r="T74" i="12"/>
  <c r="AB74" i="12" s="1"/>
  <c r="T67" i="12"/>
  <c r="AB67" i="12" s="1"/>
  <c r="T69" i="12"/>
  <c r="AB69" i="12" s="1"/>
  <c r="T62" i="12"/>
  <c r="AB62" i="12" s="1"/>
  <c r="AB57" i="12"/>
  <c r="AB42" i="12"/>
  <c r="T77" i="12"/>
  <c r="AB77" i="12" s="1"/>
  <c r="AB56" i="12"/>
  <c r="T73" i="12"/>
  <c r="AB73" i="12" s="1"/>
  <c r="H70" i="16"/>
  <c r="H69" i="16"/>
  <c r="H68" i="16"/>
  <c r="H67" i="16"/>
  <c r="H71" i="16" s="1"/>
  <c r="G35" i="16"/>
  <c r="H11" i="16"/>
  <c r="G8" i="16"/>
  <c r="I7" i="16"/>
  <c r="I6" i="16"/>
  <c r="I5" i="16"/>
  <c r="I8" i="16" s="1"/>
  <c r="A70" i="12"/>
  <c r="A70" i="23" l="1"/>
  <c r="A71" i="23"/>
  <c r="H30" i="16"/>
  <c r="H49" i="16"/>
  <c r="H54" i="16"/>
  <c r="H43" i="16"/>
  <c r="H35" i="16"/>
  <c r="H25" i="16"/>
  <c r="H15" i="16"/>
  <c r="H19" i="16"/>
  <c r="H38" i="16"/>
  <c r="H59" i="16"/>
  <c r="H63" i="16" l="1"/>
  <c r="H73" i="16" s="1"/>
  <c r="A53" i="12" l="1"/>
  <c r="N53" i="12"/>
  <c r="Q53" i="12"/>
  <c r="R53" i="12" s="1"/>
  <c r="X53" i="12"/>
  <c r="A52" i="12"/>
  <c r="N52" i="12"/>
  <c r="Q52" i="12"/>
  <c r="R52" i="12" s="1"/>
  <c r="AB52" i="12" s="1"/>
  <c r="X52" i="12"/>
  <c r="E61" i="23"/>
  <c r="D62" i="23"/>
  <c r="D68" i="23"/>
  <c r="D69" i="23"/>
  <c r="D70" i="23"/>
  <c r="D71" i="23"/>
  <c r="D74" i="23"/>
  <c r="E62" i="23"/>
  <c r="E68" i="23"/>
  <c r="E69" i="23"/>
  <c r="E70" i="23"/>
  <c r="E71" i="23"/>
  <c r="E74" i="23"/>
  <c r="A66" i="12"/>
  <c r="N66" i="12"/>
  <c r="Q66" i="12"/>
  <c r="R66" i="12" s="1"/>
  <c r="X66" i="12"/>
  <c r="A55" i="12"/>
  <c r="N55" i="12"/>
  <c r="Q55" i="12"/>
  <c r="R55" i="12" s="1"/>
  <c r="X55" i="12"/>
  <c r="B20" i="21"/>
  <c r="A52" i="23" l="1"/>
  <c r="A66" i="23"/>
  <c r="D66" i="23" s="1"/>
  <c r="A67" i="23"/>
  <c r="A56" i="23"/>
  <c r="A53" i="23"/>
  <c r="T53" i="12"/>
  <c r="AB53" i="12" s="1"/>
  <c r="E60" i="23"/>
  <c r="AB66" i="12"/>
  <c r="AB55" i="12"/>
  <c r="B24" i="21"/>
  <c r="E66" i="23" l="1"/>
  <c r="D67" i="23"/>
  <c r="E67" i="23"/>
  <c r="I49" i="24"/>
  <c r="AB48" i="18"/>
  <c r="X48" i="18"/>
  <c r="Q48" i="18"/>
  <c r="R48" i="18" s="1"/>
  <c r="N48" i="18"/>
  <c r="AB47" i="18"/>
  <c r="X47" i="18"/>
  <c r="Q47" i="18"/>
  <c r="R47" i="18" s="1"/>
  <c r="N47" i="18"/>
  <c r="AB46" i="18"/>
  <c r="X46" i="18"/>
  <c r="Q46" i="18"/>
  <c r="R46" i="18" s="1"/>
  <c r="N46" i="18"/>
  <c r="AB45" i="18"/>
  <c r="X45" i="18"/>
  <c r="Q45" i="18"/>
  <c r="R45" i="18" s="1"/>
  <c r="N45" i="18"/>
  <c r="AB44" i="18"/>
  <c r="X44" i="18"/>
  <c r="Q44" i="18"/>
  <c r="R44" i="18" s="1"/>
  <c r="N44" i="18"/>
  <c r="X2" i="12" l="1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9" i="12"/>
  <c r="X50" i="12"/>
  <c r="X61" i="12"/>
  <c r="X46" i="12"/>
  <c r="X47" i="12"/>
  <c r="X60" i="12"/>
  <c r="X64" i="12"/>
  <c r="X75" i="12"/>
  <c r="X54" i="12"/>
  <c r="X70" i="12"/>
  <c r="X76" i="12"/>
  <c r="X78" i="12"/>
  <c r="X63" i="12"/>
  <c r="X72" i="12"/>
  <c r="X79" i="12"/>
  <c r="Y37" i="12"/>
  <c r="X80" i="12" l="1"/>
  <c r="Y36" i="12"/>
  <c r="Y29" i="12"/>
  <c r="Y26" i="12"/>
  <c r="Y19" i="12"/>
  <c r="Y5" i="12"/>
  <c r="Y80" i="12" l="1"/>
  <c r="I10" i="25"/>
  <c r="I5" i="25"/>
  <c r="I6" i="25"/>
  <c r="I7" i="25"/>
  <c r="I8" i="25"/>
  <c r="I9" i="25"/>
  <c r="I4" i="25"/>
  <c r="F8" i="25"/>
  <c r="E7" i="25"/>
  <c r="E6" i="25"/>
  <c r="C4" i="25"/>
  <c r="I26" i="24" l="1"/>
  <c r="G25" i="24"/>
  <c r="H12" i="24"/>
  <c r="H17" i="24"/>
  <c r="G17" i="24"/>
  <c r="G16" i="24"/>
  <c r="G15" i="24"/>
  <c r="H5" i="24"/>
  <c r="G5" i="24"/>
  <c r="I20" i="24"/>
  <c r="I21" i="24"/>
  <c r="I22" i="24"/>
  <c r="I23" i="24"/>
  <c r="I24" i="24"/>
  <c r="I17" i="24" l="1"/>
  <c r="I14" i="24"/>
  <c r="G42" i="24"/>
  <c r="G44" i="24" s="1"/>
  <c r="F40" i="24"/>
  <c r="H10" i="24"/>
  <c r="H27" i="24" s="1"/>
  <c r="G10" i="24"/>
  <c r="G27" i="24" s="1"/>
  <c r="E11" i="24"/>
  <c r="I11" i="24" s="1"/>
  <c r="D10" i="24"/>
  <c r="D27" i="24" s="1"/>
  <c r="I6" i="24"/>
  <c r="I7" i="24"/>
  <c r="I8" i="24"/>
  <c r="I12" i="24"/>
  <c r="I13" i="24"/>
  <c r="I15" i="24"/>
  <c r="I16" i="24"/>
  <c r="I18" i="24"/>
  <c r="I19" i="24"/>
  <c r="I25" i="24"/>
  <c r="F42" i="24"/>
  <c r="E42" i="24"/>
  <c r="D42" i="24"/>
  <c r="E40" i="24"/>
  <c r="D40" i="24"/>
  <c r="C40" i="24"/>
  <c r="I28" i="24"/>
  <c r="I29" i="24"/>
  <c r="I32" i="24"/>
  <c r="I33" i="24"/>
  <c r="I5" i="24"/>
  <c r="H34" i="24"/>
  <c r="G34" i="24"/>
  <c r="F34" i="24"/>
  <c r="E34" i="24"/>
  <c r="D34" i="24"/>
  <c r="C34" i="24"/>
  <c r="E30" i="24"/>
  <c r="D30" i="24"/>
  <c r="C30" i="24"/>
  <c r="F27" i="24"/>
  <c r="C27" i="24"/>
  <c r="F44" i="24" l="1"/>
  <c r="E44" i="24"/>
  <c r="E27" i="24"/>
  <c r="D44" i="24"/>
  <c r="I10" i="24"/>
  <c r="I27" i="24" s="1"/>
  <c r="I34" i="24"/>
  <c r="A112" i="23" l="1"/>
  <c r="A111" i="23"/>
  <c r="A110" i="23"/>
  <c r="A108" i="23"/>
  <c r="E52" i="23" l="1"/>
  <c r="D52" i="23"/>
  <c r="E42" i="23"/>
  <c r="D42" i="23"/>
  <c r="E18" i="23"/>
  <c r="D18" i="23"/>
  <c r="E25" i="23"/>
  <c r="D25" i="23"/>
  <c r="Q60" i="12"/>
  <c r="R60" i="12" s="1"/>
  <c r="N60" i="12"/>
  <c r="Q47" i="12"/>
  <c r="R47" i="12" s="1"/>
  <c r="N47" i="12"/>
  <c r="Q46" i="12"/>
  <c r="R46" i="12" s="1"/>
  <c r="N46" i="12"/>
  <c r="Q43" i="12"/>
  <c r="R43" i="12" s="1"/>
  <c r="N43" i="12"/>
  <c r="Q61" i="12"/>
  <c r="R61" i="12" s="1"/>
  <c r="N61" i="12"/>
  <c r="A64" i="12"/>
  <c r="A75" i="12"/>
  <c r="A54" i="12"/>
  <c r="A76" i="12"/>
  <c r="N64" i="12"/>
  <c r="N75" i="12"/>
  <c r="N54" i="12"/>
  <c r="N70" i="12"/>
  <c r="N76" i="12"/>
  <c r="Q64" i="12"/>
  <c r="R64" i="12" s="1"/>
  <c r="Q75" i="12"/>
  <c r="R75" i="12" s="1"/>
  <c r="AB75" i="12" s="1"/>
  <c r="Q54" i="12"/>
  <c r="R54" i="12" s="1"/>
  <c r="Q70" i="12"/>
  <c r="R70" i="12" s="1"/>
  <c r="Q76" i="12"/>
  <c r="R76" i="12" s="1"/>
  <c r="A78" i="12"/>
  <c r="N78" i="12"/>
  <c r="Q78" i="12"/>
  <c r="R78" i="12" s="1"/>
  <c r="N49" i="12"/>
  <c r="Q49" i="12"/>
  <c r="R49" i="12" s="1"/>
  <c r="A39" i="12"/>
  <c r="N39" i="12"/>
  <c r="AB39" i="12" s="1"/>
  <c r="Q39" i="12"/>
  <c r="R39" i="12" s="1"/>
  <c r="A78" i="23" l="1"/>
  <c r="D78" i="23" s="1"/>
  <c r="A75" i="23"/>
  <c r="D75" i="23" s="1"/>
  <c r="A65" i="23"/>
  <c r="A76" i="23"/>
  <c r="E76" i="23" s="1"/>
  <c r="A77" i="23"/>
  <c r="A54" i="23"/>
  <c r="E54" i="23" s="1"/>
  <c r="A55" i="23"/>
  <c r="E78" i="23"/>
  <c r="T49" i="12"/>
  <c r="E53" i="23"/>
  <c r="D53" i="23"/>
  <c r="E44" i="23"/>
  <c r="E45" i="23"/>
  <c r="D45" i="23"/>
  <c r="E46" i="23"/>
  <c r="D46" i="23"/>
  <c r="E47" i="23"/>
  <c r="E48" i="23"/>
  <c r="E49" i="23"/>
  <c r="D49" i="23"/>
  <c r="AB78" i="12"/>
  <c r="AB76" i="12"/>
  <c r="T61" i="12"/>
  <c r="T46" i="12"/>
  <c r="AB46" i="12" s="1"/>
  <c r="T47" i="12"/>
  <c r="AB47" i="12" s="1"/>
  <c r="AB64" i="12"/>
  <c r="T60" i="12"/>
  <c r="AB60" i="12" s="1"/>
  <c r="T43" i="12"/>
  <c r="AB43" i="12" s="1"/>
  <c r="AB61" i="12"/>
  <c r="T54" i="12"/>
  <c r="AB54" i="12" s="1"/>
  <c r="AB70" i="12"/>
  <c r="AB49" i="12"/>
  <c r="AB32" i="12"/>
  <c r="AB33" i="12"/>
  <c r="AB34" i="12"/>
  <c r="AB36" i="12"/>
  <c r="A31" i="12"/>
  <c r="N31" i="12"/>
  <c r="Q31" i="12"/>
  <c r="R31" i="12" s="1"/>
  <c r="N2" i="12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38" i="12"/>
  <c r="N28" i="12"/>
  <c r="N30" i="12"/>
  <c r="N29" i="12"/>
  <c r="N32" i="12"/>
  <c r="N33" i="12"/>
  <c r="N34" i="12"/>
  <c r="N35" i="12"/>
  <c r="N36" i="12"/>
  <c r="N37" i="12"/>
  <c r="N40" i="12"/>
  <c r="N50" i="12"/>
  <c r="N63" i="12"/>
  <c r="N72" i="12"/>
  <c r="N79" i="12"/>
  <c r="Q32" i="12"/>
  <c r="R32" i="12" s="1"/>
  <c r="E75" i="23" l="1"/>
  <c r="D76" i="23"/>
  <c r="A32" i="23"/>
  <c r="E32" i="23" s="1"/>
  <c r="D54" i="23"/>
  <c r="E77" i="23"/>
  <c r="D77" i="23"/>
  <c r="E65" i="23"/>
  <c r="D65" i="23"/>
  <c r="AB31" i="12"/>
  <c r="A30" i="12"/>
  <c r="Q30" i="12"/>
  <c r="R30" i="12" s="1"/>
  <c r="AB28" i="12"/>
  <c r="D32" i="23" l="1"/>
  <c r="A31" i="23"/>
  <c r="E31" i="23" s="1"/>
  <c r="AB30" i="12"/>
  <c r="A27" i="12"/>
  <c r="Q27" i="12"/>
  <c r="R27" i="12" s="1"/>
  <c r="AB27" i="12" s="1"/>
  <c r="A16" i="12"/>
  <c r="Q16" i="12"/>
  <c r="R16" i="12" s="1"/>
  <c r="AB16" i="12"/>
  <c r="AB2" i="12"/>
  <c r="AB15" i="12"/>
  <c r="AB18" i="12"/>
  <c r="AB17" i="12"/>
  <c r="AB22" i="12"/>
  <c r="AB25" i="12"/>
  <c r="AB26" i="12"/>
  <c r="AB29" i="12"/>
  <c r="AB40" i="12"/>
  <c r="AB50" i="12"/>
  <c r="AB63" i="12"/>
  <c r="AB72" i="12"/>
  <c r="AB79" i="12"/>
  <c r="D31" i="23" l="1"/>
  <c r="A17" i="23"/>
  <c r="D17" i="23" s="1"/>
  <c r="A72" i="12"/>
  <c r="A79" i="12"/>
  <c r="A50" i="12"/>
  <c r="A63" i="12"/>
  <c r="A28" i="12"/>
  <c r="A28" i="23" s="1"/>
  <c r="E28" i="23" s="1"/>
  <c r="A38" i="12"/>
  <c r="Q72" i="12"/>
  <c r="R72" i="12" s="1"/>
  <c r="Q79" i="12"/>
  <c r="R79" i="12" s="1"/>
  <c r="Q50" i="12"/>
  <c r="R50" i="12" s="1"/>
  <c r="Q63" i="12"/>
  <c r="R63" i="12" s="1"/>
  <c r="Q28" i="12"/>
  <c r="R28" i="12" s="1"/>
  <c r="Q38" i="12"/>
  <c r="R38" i="12" s="1"/>
  <c r="D28" i="23" l="1"/>
  <c r="A39" i="23"/>
  <c r="E39" i="23" s="1"/>
  <c r="A79" i="23"/>
  <c r="D79" i="23" s="1"/>
  <c r="A72" i="23"/>
  <c r="D72" i="23" s="1"/>
  <c r="A73" i="23"/>
  <c r="A63" i="23"/>
  <c r="E63" i="23" s="1"/>
  <c r="A64" i="23"/>
  <c r="A50" i="23"/>
  <c r="E50" i="23" s="1"/>
  <c r="A51" i="23"/>
  <c r="E43" i="23"/>
  <c r="E17" i="23"/>
  <c r="E59" i="23"/>
  <c r="D58" i="23"/>
  <c r="E57" i="23"/>
  <c r="E58" i="23"/>
  <c r="E55" i="23"/>
  <c r="D55" i="23"/>
  <c r="E56" i="23"/>
  <c r="D56" i="23"/>
  <c r="D59" i="23"/>
  <c r="A35" i="12"/>
  <c r="Q35" i="12"/>
  <c r="R35" i="12" s="1"/>
  <c r="Q17" i="12"/>
  <c r="R17" i="12" s="1"/>
  <c r="A15" i="12"/>
  <c r="Q15" i="12"/>
  <c r="R15" i="12" s="1"/>
  <c r="Q25" i="12"/>
  <c r="R25" i="12" s="1"/>
  <c r="Q24" i="12"/>
  <c r="R24" i="12" s="1"/>
  <c r="Q18" i="12"/>
  <c r="R18" i="12" s="1"/>
  <c r="E79" i="23" l="1"/>
  <c r="D50" i="23"/>
  <c r="E72" i="23"/>
  <c r="A16" i="23"/>
  <c r="E16" i="23" s="1"/>
  <c r="E64" i="23"/>
  <c r="D64" i="23"/>
  <c r="D63" i="23"/>
  <c r="D51" i="23"/>
  <c r="E51" i="23"/>
  <c r="D73" i="23"/>
  <c r="E73" i="23"/>
  <c r="D43" i="23"/>
  <c r="D57" i="23"/>
  <c r="D39" i="23"/>
  <c r="AB35" i="12"/>
  <c r="T24" i="12"/>
  <c r="AB24" i="12" s="1"/>
  <c r="A21" i="12"/>
  <c r="Q21" i="12"/>
  <c r="R21" i="12" s="1"/>
  <c r="A3" i="12"/>
  <c r="A4" i="12"/>
  <c r="A5" i="12"/>
  <c r="A6" i="12"/>
  <c r="A7" i="12"/>
  <c r="A8" i="12"/>
  <c r="A2" i="12"/>
  <c r="A9" i="12"/>
  <c r="A10" i="12"/>
  <c r="A11" i="12"/>
  <c r="A12" i="12"/>
  <c r="A13" i="12"/>
  <c r="A14" i="12"/>
  <c r="A19" i="12"/>
  <c r="A19" i="23" s="1"/>
  <c r="A20" i="12"/>
  <c r="A23" i="12"/>
  <c r="A23" i="23" s="1"/>
  <c r="A26" i="12"/>
  <c r="A26" i="23" s="1"/>
  <c r="A29" i="12"/>
  <c r="A29" i="23" s="1"/>
  <c r="D29" i="23" s="1"/>
  <c r="A34" i="12"/>
  <c r="A33" i="12"/>
  <c r="A33" i="23" s="1"/>
  <c r="A36" i="12"/>
  <c r="A36" i="23" s="1"/>
  <c r="E36" i="23" s="1"/>
  <c r="A37" i="12"/>
  <c r="A40" i="12"/>
  <c r="A40" i="23" s="1"/>
  <c r="E26" i="23" l="1"/>
  <c r="D26" i="23"/>
  <c r="E23" i="23"/>
  <c r="D23" i="23"/>
  <c r="E40" i="23"/>
  <c r="D40" i="23"/>
  <c r="E29" i="23"/>
  <c r="E19" i="23"/>
  <c r="D19" i="23"/>
  <c r="E33" i="23"/>
  <c r="D33" i="23"/>
  <c r="D36" i="23"/>
  <c r="A37" i="23"/>
  <c r="D37" i="23" s="1"/>
  <c r="A15" i="23"/>
  <c r="B15" i="23" s="1"/>
  <c r="A11" i="23"/>
  <c r="D11" i="23" s="1"/>
  <c r="A4" i="23"/>
  <c r="D4" i="23" s="1"/>
  <c r="A34" i="23"/>
  <c r="E34" i="23" s="1"/>
  <c r="A24" i="23"/>
  <c r="C24" i="23" s="1"/>
  <c r="A14" i="23"/>
  <c r="B14" i="23" s="1"/>
  <c r="A10" i="23"/>
  <c r="D10" i="23" s="1"/>
  <c r="A7" i="23"/>
  <c r="C7" i="23" s="1"/>
  <c r="A27" i="23"/>
  <c r="D27" i="23" s="1"/>
  <c r="A8" i="23"/>
  <c r="C8" i="23" s="1"/>
  <c r="A41" i="23"/>
  <c r="C41" i="23" s="1"/>
  <c r="A35" i="23"/>
  <c r="B35" i="23" s="1"/>
  <c r="A21" i="23"/>
  <c r="C21" i="23" s="1"/>
  <c r="A13" i="23"/>
  <c r="B13" i="23" s="1"/>
  <c r="A6" i="23"/>
  <c r="D6" i="23" s="1"/>
  <c r="A22" i="23"/>
  <c r="C22" i="23" s="1"/>
  <c r="A38" i="23"/>
  <c r="B38" i="23" s="1"/>
  <c r="A30" i="23"/>
  <c r="B30" i="23" s="1"/>
  <c r="A20" i="23"/>
  <c r="B20" i="23" s="1"/>
  <c r="A12" i="23"/>
  <c r="B12" i="23" s="1"/>
  <c r="A9" i="23"/>
  <c r="B9" i="23" s="1"/>
  <c r="A5" i="23"/>
  <c r="C5" i="23" s="1"/>
  <c r="B53" i="23"/>
  <c r="B51" i="23"/>
  <c r="B52" i="23"/>
  <c r="B57" i="23"/>
  <c r="B49" i="23"/>
  <c r="B61" i="23"/>
  <c r="B60" i="23"/>
  <c r="B58" i="23"/>
  <c r="B59" i="23"/>
  <c r="B50" i="23"/>
  <c r="B56" i="23"/>
  <c r="B54" i="23"/>
  <c r="B55" i="23"/>
  <c r="F35" i="28"/>
  <c r="B11" i="28"/>
  <c r="B12" i="28"/>
  <c r="E18" i="28"/>
  <c r="B18" i="28"/>
  <c r="H24" i="14"/>
  <c r="K24" i="14"/>
  <c r="C24" i="14"/>
  <c r="L24" i="14"/>
  <c r="F24" i="14"/>
  <c r="E24" i="14"/>
  <c r="M24" i="14"/>
  <c r="G24" i="14"/>
  <c r="B24" i="14"/>
  <c r="D24" i="14"/>
  <c r="C25" i="23"/>
  <c r="C33" i="23"/>
  <c r="C65" i="23"/>
  <c r="C69" i="23"/>
  <c r="C73" i="23"/>
  <c r="C77" i="23"/>
  <c r="B16" i="23"/>
  <c r="B64" i="23"/>
  <c r="B68" i="23"/>
  <c r="B72" i="23"/>
  <c r="B76" i="23"/>
  <c r="C16" i="23"/>
  <c r="C28" i="23"/>
  <c r="C56" i="23"/>
  <c r="C68" i="23"/>
  <c r="C76" i="23"/>
  <c r="C18" i="23"/>
  <c r="C26" i="23"/>
  <c r="C42" i="23"/>
  <c r="C54" i="23"/>
  <c r="C62" i="23"/>
  <c r="C66" i="23"/>
  <c r="C70" i="23"/>
  <c r="C74" i="23"/>
  <c r="C78" i="23"/>
  <c r="B25" i="23"/>
  <c r="B33" i="23"/>
  <c r="B65" i="23"/>
  <c r="B69" i="23"/>
  <c r="B73" i="23"/>
  <c r="B77" i="23"/>
  <c r="A3" i="23"/>
  <c r="C19" i="23"/>
  <c r="C23" i="23"/>
  <c r="C39" i="23"/>
  <c r="C43" i="23"/>
  <c r="C51" i="23"/>
  <c r="C63" i="23"/>
  <c r="C67" i="23"/>
  <c r="C71" i="23"/>
  <c r="C75" i="23"/>
  <c r="C79" i="23"/>
  <c r="B18" i="23"/>
  <c r="B26" i="23"/>
  <c r="B42" i="23"/>
  <c r="B62" i="23"/>
  <c r="B66" i="23"/>
  <c r="B70" i="23"/>
  <c r="B74" i="23"/>
  <c r="B78" i="23"/>
  <c r="C32" i="23"/>
  <c r="C52" i="23"/>
  <c r="C64" i="23"/>
  <c r="C72" i="23"/>
  <c r="B47" i="23"/>
  <c r="B63" i="23"/>
  <c r="B79" i="23"/>
  <c r="B19" i="23"/>
  <c r="B67" i="23"/>
  <c r="B23" i="23"/>
  <c r="B39" i="23"/>
  <c r="B71" i="23"/>
  <c r="B27" i="23"/>
  <c r="B43" i="23"/>
  <c r="B75" i="23"/>
  <c r="B28" i="23"/>
  <c r="C46" i="23"/>
  <c r="C29" i="23"/>
  <c r="C57" i="23"/>
  <c r="B36" i="23"/>
  <c r="C45" i="23"/>
  <c r="C53" i="23"/>
  <c r="B31" i="23"/>
  <c r="C55" i="23"/>
  <c r="C17" i="23"/>
  <c r="B40" i="23"/>
  <c r="C58" i="23"/>
  <c r="C59" i="23"/>
  <c r="B24" i="23"/>
  <c r="C31" i="23"/>
  <c r="B29" i="23"/>
  <c r="B32" i="23"/>
  <c r="C50" i="23"/>
  <c r="B44" i="23"/>
  <c r="C36" i="23"/>
  <c r="B45" i="23"/>
  <c r="B17" i="23"/>
  <c r="C15" i="23"/>
  <c r="C37" i="23"/>
  <c r="B48" i="23"/>
  <c r="C49" i="23"/>
  <c r="B46" i="23"/>
  <c r="C40" i="23"/>
  <c r="D16" i="23"/>
  <c r="B8" i="25"/>
  <c r="B4" i="25"/>
  <c r="B7" i="25"/>
  <c r="B5" i="25"/>
  <c r="B9" i="25"/>
  <c r="B6" i="25"/>
  <c r="B15" i="24"/>
  <c r="B7" i="24"/>
  <c r="B10" i="24"/>
  <c r="B13" i="24"/>
  <c r="B17" i="24"/>
  <c r="B21" i="24"/>
  <c r="B25" i="24"/>
  <c r="B8" i="24"/>
  <c r="B11" i="24"/>
  <c r="B14" i="24"/>
  <c r="B18" i="24"/>
  <c r="B22" i="24"/>
  <c r="B26" i="24"/>
  <c r="B9" i="24"/>
  <c r="B12" i="24"/>
  <c r="B19" i="24"/>
  <c r="B23" i="24"/>
  <c r="B5" i="24"/>
  <c r="B6" i="24"/>
  <c r="B16" i="24"/>
  <c r="B20" i="24"/>
  <c r="B24" i="24"/>
  <c r="D21" i="23"/>
  <c r="E24" i="23"/>
  <c r="I16" i="14"/>
  <c r="A16" i="14"/>
  <c r="H23" i="14"/>
  <c r="L23" i="14"/>
  <c r="E23" i="14"/>
  <c r="G23" i="14"/>
  <c r="K23" i="14"/>
  <c r="B23" i="14"/>
  <c r="D23" i="14"/>
  <c r="M23" i="14"/>
  <c r="F23" i="14"/>
  <c r="C23" i="14"/>
  <c r="K16" i="14"/>
  <c r="C16" i="14"/>
  <c r="T21" i="12"/>
  <c r="AB21" i="12" s="1"/>
  <c r="Q2" i="12"/>
  <c r="R2" i="12" s="1"/>
  <c r="E35" i="23" l="1"/>
  <c r="E27" i="23"/>
  <c r="B21" i="23"/>
  <c r="D41" i="23"/>
  <c r="Z41" i="12" s="1"/>
  <c r="E10" i="23"/>
  <c r="E4" i="23"/>
  <c r="B10" i="23"/>
  <c r="B4" i="23"/>
  <c r="C10" i="23"/>
  <c r="D8" i="23"/>
  <c r="C13" i="23"/>
  <c r="C11" i="23"/>
  <c r="E14" i="23"/>
  <c r="E11" i="23"/>
  <c r="E21" i="23"/>
  <c r="B11" i="23"/>
  <c r="D14" i="23"/>
  <c r="E8" i="23"/>
  <c r="C14" i="23"/>
  <c r="D13" i="23"/>
  <c r="Z13" i="12" s="1"/>
  <c r="C27" i="23"/>
  <c r="B8" i="23"/>
  <c r="D24" i="23"/>
  <c r="Z24" i="12" s="1"/>
  <c r="E13" i="23"/>
  <c r="E37" i="23"/>
  <c r="AA36" i="12" s="1"/>
  <c r="C35" i="23"/>
  <c r="C34" i="23"/>
  <c r="B7" i="23"/>
  <c r="D7" i="23"/>
  <c r="Z6" i="12" s="1"/>
  <c r="D34" i="23"/>
  <c r="Z33" i="12" s="1"/>
  <c r="E41" i="23"/>
  <c r="AA40" i="12" s="1"/>
  <c r="B41" i="23"/>
  <c r="B37" i="23"/>
  <c r="C4" i="23"/>
  <c r="B34" i="23"/>
  <c r="E7" i="23"/>
  <c r="D35" i="23"/>
  <c r="Z35" i="12" s="1"/>
  <c r="B22" i="23"/>
  <c r="B6" i="23"/>
  <c r="C6" i="23"/>
  <c r="E9" i="23"/>
  <c r="AA60" i="12" s="1"/>
  <c r="C9" i="23"/>
  <c r="C20" i="23"/>
  <c r="C38" i="23"/>
  <c r="B5" i="23"/>
  <c r="C12" i="23"/>
  <c r="E12" i="23"/>
  <c r="AA46" i="12" s="1"/>
  <c r="D30" i="23"/>
  <c r="Z29" i="12" s="1"/>
  <c r="C30" i="23"/>
  <c r="E5" i="23"/>
  <c r="AA4" i="12" s="1"/>
  <c r="E22" i="23"/>
  <c r="AA43" i="12" s="1"/>
  <c r="Z48" i="12"/>
  <c r="AA48" i="12"/>
  <c r="Z66" i="12"/>
  <c r="Z74" i="12"/>
  <c r="Z73" i="12"/>
  <c r="Z65" i="12"/>
  <c r="Z67" i="12"/>
  <c r="Z68" i="12"/>
  <c r="Z70" i="12"/>
  <c r="Z69" i="12"/>
  <c r="Z71" i="12"/>
  <c r="Z62" i="12"/>
  <c r="Z77" i="12"/>
  <c r="Z52" i="12"/>
  <c r="Z53" i="12"/>
  <c r="Z78" i="12"/>
  <c r="Z51" i="12"/>
  <c r="Z64" i="12"/>
  <c r="Z75" i="12"/>
  <c r="Z49" i="12"/>
  <c r="Z45" i="12"/>
  <c r="Z44" i="12"/>
  <c r="Z54" i="12"/>
  <c r="Z76" i="12"/>
  <c r="Z56" i="12"/>
  <c r="Z58" i="12"/>
  <c r="Z79" i="12"/>
  <c r="Z59" i="12"/>
  <c r="Z63" i="12"/>
  <c r="Z50" i="12"/>
  <c r="Z55" i="12"/>
  <c r="Z72" i="12"/>
  <c r="Z42" i="12"/>
  <c r="Z57" i="12"/>
  <c r="AA65" i="12"/>
  <c r="AA45" i="12"/>
  <c r="AA64" i="12"/>
  <c r="AA51" i="12"/>
  <c r="AA71" i="12"/>
  <c r="AA58" i="12"/>
  <c r="AA59" i="12"/>
  <c r="AA74" i="12"/>
  <c r="AA44" i="12"/>
  <c r="AA67" i="12"/>
  <c r="AA69" i="12"/>
  <c r="AA57" i="12"/>
  <c r="AA62" i="12"/>
  <c r="AA73" i="12"/>
  <c r="AA77" i="12"/>
  <c r="AA42" i="12"/>
  <c r="AA56" i="12"/>
  <c r="AA68" i="12"/>
  <c r="AA9" i="12"/>
  <c r="AA23" i="12"/>
  <c r="AA53" i="12"/>
  <c r="Z26" i="12"/>
  <c r="Z7" i="12"/>
  <c r="AA34" i="12"/>
  <c r="AA52" i="12"/>
  <c r="AA33" i="12"/>
  <c r="AA26" i="12"/>
  <c r="Z40" i="12"/>
  <c r="AA35" i="12"/>
  <c r="Z23" i="12"/>
  <c r="Z10" i="12"/>
  <c r="Z36" i="12"/>
  <c r="AA28" i="12"/>
  <c r="C3" i="23"/>
  <c r="B3" i="23"/>
  <c r="AA24" i="12"/>
  <c r="Z32" i="12"/>
  <c r="AA25" i="12"/>
  <c r="Z17" i="12"/>
  <c r="AA17" i="12"/>
  <c r="Z25" i="12"/>
  <c r="AA49" i="12"/>
  <c r="Z18" i="12"/>
  <c r="AA18" i="12"/>
  <c r="AA32" i="12"/>
  <c r="AA55" i="12"/>
  <c r="Z39" i="12"/>
  <c r="AA39" i="12"/>
  <c r="AA54" i="12"/>
  <c r="AA66" i="12"/>
  <c r="AA75" i="12"/>
  <c r="AA70" i="12"/>
  <c r="AA31" i="12"/>
  <c r="Z31" i="12"/>
  <c r="AA27" i="12"/>
  <c r="Z27" i="12"/>
  <c r="Z16" i="12"/>
  <c r="AA16" i="12"/>
  <c r="AA50" i="12"/>
  <c r="Z28" i="12"/>
  <c r="AA76" i="12"/>
  <c r="AA78" i="12"/>
  <c r="AA63" i="12"/>
  <c r="AA79" i="12"/>
  <c r="AA72" i="12"/>
  <c r="D38" i="23"/>
  <c r="Z37" i="12" s="1"/>
  <c r="D9" i="23"/>
  <c r="D15" i="23"/>
  <c r="D12" i="23"/>
  <c r="Z11" i="12" s="1"/>
  <c r="E38" i="23"/>
  <c r="D20" i="23"/>
  <c r="Z19" i="12" s="1"/>
  <c r="E15" i="23"/>
  <c r="E20" i="23"/>
  <c r="AA19" i="12" s="1"/>
  <c r="E30" i="23"/>
  <c r="AA29" i="12" s="1"/>
  <c r="D5" i="23"/>
  <c r="Z4" i="12" s="1"/>
  <c r="D22" i="23"/>
  <c r="Z22" i="12" s="1"/>
  <c r="E6" i="23"/>
  <c r="E3" i="23"/>
  <c r="D3" i="23"/>
  <c r="Z3" i="12" s="1"/>
  <c r="B10" i="19"/>
  <c r="B9" i="19"/>
  <c r="B12" i="19"/>
  <c r="AA14" i="12" l="1"/>
  <c r="Z14" i="12"/>
  <c r="AA37" i="12"/>
  <c r="AA61" i="12"/>
  <c r="AA5" i="12"/>
  <c r="AA12" i="12"/>
  <c r="AA22" i="12"/>
  <c r="AA41" i="12"/>
  <c r="AA3" i="12"/>
  <c r="Z30" i="12"/>
  <c r="AA30" i="12"/>
  <c r="AA8" i="12"/>
  <c r="Z34" i="12"/>
  <c r="Z8" i="12"/>
  <c r="AA11" i="12"/>
  <c r="Z20" i="12"/>
  <c r="AA47" i="12"/>
  <c r="Z9" i="12"/>
  <c r="Z12" i="12"/>
  <c r="Z38" i="12"/>
  <c r="AA20" i="12"/>
  <c r="AA6" i="12"/>
  <c r="AA38" i="12"/>
  <c r="Z15" i="12"/>
  <c r="Z5" i="12"/>
  <c r="AA15" i="12"/>
  <c r="AA7" i="12"/>
  <c r="AA13" i="12"/>
  <c r="AA10" i="12"/>
  <c r="C80" i="23"/>
  <c r="AA21" i="12"/>
  <c r="Z21" i="12"/>
  <c r="AA2" i="12"/>
  <c r="E80" i="23"/>
  <c r="Z2" i="12"/>
  <c r="D80" i="23"/>
  <c r="B13" i="19"/>
  <c r="Q22" i="12"/>
  <c r="R22" i="12" s="1"/>
  <c r="AA80" i="12" l="1"/>
  <c r="Z80" i="12"/>
  <c r="Q3" i="12"/>
  <c r="R3" i="12" s="1"/>
  <c r="Q4" i="12"/>
  <c r="R4" i="12" s="1"/>
  <c r="Q34" i="12"/>
  <c r="R34" i="12" s="1"/>
  <c r="Q5" i="12"/>
  <c r="R5" i="12" s="1"/>
  <c r="Q19" i="12"/>
  <c r="R19" i="12" s="1"/>
  <c r="Q26" i="12"/>
  <c r="R26" i="12" s="1"/>
  <c r="Q29" i="12"/>
  <c r="R29" i="12" s="1"/>
  <c r="Q36" i="12"/>
  <c r="R36" i="12" s="1"/>
  <c r="Q40" i="12"/>
  <c r="R40" i="12" s="1"/>
  <c r="Q6" i="12"/>
  <c r="R6" i="12" s="1"/>
  <c r="Q20" i="12"/>
  <c r="R20" i="12" s="1"/>
  <c r="Q11" i="12"/>
  <c r="R11" i="12" s="1"/>
  <c r="Q7" i="12"/>
  <c r="R7" i="12" s="1"/>
  <c r="Q14" i="12"/>
  <c r="R14" i="12" s="1"/>
  <c r="Q37" i="12"/>
  <c r="R37" i="12" s="1"/>
  <c r="Q12" i="12"/>
  <c r="R12" i="12" s="1"/>
  <c r="Q13" i="12"/>
  <c r="R13" i="12" s="1"/>
  <c r="Q9" i="12"/>
  <c r="R9" i="12" s="1"/>
  <c r="Q10" i="12"/>
  <c r="R10" i="12" s="1"/>
  <c r="Q23" i="12"/>
  <c r="R23" i="12" s="1"/>
  <c r="Q8" i="12"/>
  <c r="R8" i="12" s="1"/>
  <c r="Q33" i="12"/>
  <c r="R33" i="12" s="1"/>
  <c r="B40" i="14"/>
  <c r="T23" i="12" l="1"/>
  <c r="T12" i="12"/>
  <c r="T11" i="12"/>
  <c r="T10" i="12"/>
  <c r="T37" i="12"/>
  <c r="T20" i="12"/>
  <c r="T9" i="12"/>
  <c r="AB4" i="12"/>
  <c r="T14" i="12"/>
  <c r="AB6" i="12"/>
  <c r="T8" i="12"/>
  <c r="T13" i="12"/>
  <c r="T7" i="12"/>
  <c r="AB19" i="12"/>
  <c r="T3" i="12"/>
  <c r="N10" i="18"/>
  <c r="N11" i="18"/>
  <c r="A10" i="18"/>
  <c r="A11" i="18"/>
  <c r="Q10" i="18"/>
  <c r="R10" i="18" s="1"/>
  <c r="T10" i="18" s="1"/>
  <c r="Q11" i="18"/>
  <c r="R11" i="18" s="1"/>
  <c r="X10" i="18"/>
  <c r="X11" i="18"/>
  <c r="A6" i="18"/>
  <c r="A7" i="18"/>
  <c r="A8" i="18"/>
  <c r="A9" i="18"/>
  <c r="N6" i="18"/>
  <c r="N7" i="18"/>
  <c r="N8" i="18"/>
  <c r="N9" i="18"/>
  <c r="Q6" i="18"/>
  <c r="R6" i="18" s="1"/>
  <c r="T6" i="18" s="1"/>
  <c r="Q7" i="18"/>
  <c r="R7" i="18" s="1"/>
  <c r="Q8" i="18"/>
  <c r="R8" i="18" s="1"/>
  <c r="Q9" i="18"/>
  <c r="R9" i="18" s="1"/>
  <c r="X6" i="18"/>
  <c r="X7" i="18"/>
  <c r="X8" i="18"/>
  <c r="X9" i="18"/>
  <c r="X28" i="18"/>
  <c r="Q28" i="18"/>
  <c r="R28" i="18" s="1"/>
  <c r="N28" i="18"/>
  <c r="A28" i="18"/>
  <c r="A16" i="18"/>
  <c r="N16" i="18"/>
  <c r="T16" i="18" s="1"/>
  <c r="Q16" i="18"/>
  <c r="R16" i="18" s="1"/>
  <c r="X16" i="18"/>
  <c r="V30" i="18"/>
  <c r="X29" i="18"/>
  <c r="Q29" i="18"/>
  <c r="R29" i="18" s="1"/>
  <c r="N29" i="18"/>
  <c r="T29" i="18" s="1"/>
  <c r="A29" i="18"/>
  <c r="X27" i="18"/>
  <c r="Q27" i="18"/>
  <c r="R27" i="18" s="1"/>
  <c r="N27" i="18"/>
  <c r="T27" i="18" s="1"/>
  <c r="A27" i="18"/>
  <c r="X26" i="18"/>
  <c r="Q26" i="18"/>
  <c r="R26" i="18" s="1"/>
  <c r="N26" i="18"/>
  <c r="A26" i="18"/>
  <c r="X25" i="18"/>
  <c r="Q25" i="18"/>
  <c r="R25" i="18" s="1"/>
  <c r="N25" i="18"/>
  <c r="T25" i="18" s="1"/>
  <c r="A25" i="18"/>
  <c r="X24" i="18"/>
  <c r="Q24" i="18"/>
  <c r="R24" i="18" s="1"/>
  <c r="N24" i="18"/>
  <c r="T24" i="18" s="1"/>
  <c r="A24" i="18"/>
  <c r="X23" i="18"/>
  <c r="Q23" i="18"/>
  <c r="R23" i="18" s="1"/>
  <c r="N23" i="18"/>
  <c r="T23" i="18" s="1"/>
  <c r="A23" i="18"/>
  <c r="X22" i="18"/>
  <c r="Q22" i="18"/>
  <c r="R22" i="18" s="1"/>
  <c r="N22" i="18"/>
  <c r="A22" i="18"/>
  <c r="X21" i="18"/>
  <c r="Q21" i="18"/>
  <c r="R21" i="18" s="1"/>
  <c r="N21" i="18"/>
  <c r="T21" i="18" s="1"/>
  <c r="A21" i="18"/>
  <c r="X20" i="18"/>
  <c r="Q20" i="18"/>
  <c r="R20" i="18" s="1"/>
  <c r="N20" i="18"/>
  <c r="T20" i="18" s="1"/>
  <c r="A20" i="18"/>
  <c r="X19" i="18"/>
  <c r="Q19" i="18"/>
  <c r="R19" i="18" s="1"/>
  <c r="N19" i="18"/>
  <c r="T19" i="18" s="1"/>
  <c r="A19" i="18"/>
  <c r="X18" i="18"/>
  <c r="Q18" i="18"/>
  <c r="R18" i="18" s="1"/>
  <c r="N18" i="18"/>
  <c r="T18" i="18" s="1"/>
  <c r="A18" i="18"/>
  <c r="X17" i="18"/>
  <c r="Q17" i="18"/>
  <c r="R17" i="18" s="1"/>
  <c r="N17" i="18"/>
  <c r="T17" i="18" s="1"/>
  <c r="A17" i="18"/>
  <c r="X15" i="18"/>
  <c r="Q15" i="18"/>
  <c r="R15" i="18" s="1"/>
  <c r="N15" i="18"/>
  <c r="T15" i="18" s="1"/>
  <c r="A15" i="18"/>
  <c r="X14" i="18"/>
  <c r="Q14" i="18"/>
  <c r="R14" i="18" s="1"/>
  <c r="N14" i="18"/>
  <c r="A14" i="18"/>
  <c r="X13" i="18"/>
  <c r="Q13" i="18"/>
  <c r="R13" i="18" s="1"/>
  <c r="N13" i="18"/>
  <c r="T13" i="18" s="1"/>
  <c r="A13" i="18"/>
  <c r="X12" i="18"/>
  <c r="Q12" i="18"/>
  <c r="R12" i="18" s="1"/>
  <c r="N12" i="18"/>
  <c r="T12" i="18" s="1"/>
  <c r="A12" i="18"/>
  <c r="X5" i="18"/>
  <c r="Q5" i="18"/>
  <c r="N5" i="18"/>
  <c r="T5" i="18" s="1"/>
  <c r="A5" i="18"/>
  <c r="X4" i="18"/>
  <c r="Q4" i="18"/>
  <c r="R4" i="18" s="1"/>
  <c r="N4" i="18"/>
  <c r="T4" i="18" s="1"/>
  <c r="A4" i="18"/>
  <c r="X3" i="18"/>
  <c r="Q3" i="18"/>
  <c r="R3" i="18" s="1"/>
  <c r="N3" i="18"/>
  <c r="T3" i="18" s="1"/>
  <c r="A3" i="18"/>
  <c r="B8" i="16"/>
  <c r="C67" i="16" s="1"/>
  <c r="D6" i="16"/>
  <c r="D7" i="16"/>
  <c r="D5" i="16"/>
  <c r="B59" i="16"/>
  <c r="B54" i="16"/>
  <c r="B49" i="16"/>
  <c r="B43" i="16"/>
  <c r="B38" i="16"/>
  <c r="B35" i="16"/>
  <c r="B30" i="16"/>
  <c r="B25" i="16"/>
  <c r="B15" i="16"/>
  <c r="B11" i="16"/>
  <c r="B19" i="16"/>
  <c r="T9" i="18" l="1"/>
  <c r="T14" i="18"/>
  <c r="T22" i="18"/>
  <c r="T26" i="18"/>
  <c r="T28" i="18"/>
  <c r="T8" i="18"/>
  <c r="T11" i="18"/>
  <c r="T7" i="18"/>
  <c r="AB37" i="12"/>
  <c r="AB9" i="12"/>
  <c r="AB20" i="12"/>
  <c r="AB11" i="12"/>
  <c r="AB8" i="12"/>
  <c r="AB5" i="12"/>
  <c r="AB7" i="12"/>
  <c r="AB14" i="12"/>
  <c r="AB12" i="12"/>
  <c r="AB13" i="12"/>
  <c r="AB10" i="12"/>
  <c r="AB23" i="12"/>
  <c r="AB3" i="12"/>
  <c r="D8" i="16"/>
  <c r="C15" i="16" s="1"/>
  <c r="C69" i="16"/>
  <c r="X30" i="18"/>
  <c r="C38" i="16"/>
  <c r="C25" i="16"/>
  <c r="C43" i="16"/>
  <c r="C35" i="16"/>
  <c r="C54" i="16"/>
  <c r="C70" i="16"/>
  <c r="C68" i="16"/>
  <c r="C59" i="16"/>
  <c r="AB80" i="12" l="1"/>
  <c r="C71" i="16"/>
  <c r="C11" i="16"/>
  <c r="C49" i="16"/>
  <c r="C19" i="16"/>
  <c r="C63" i="16" s="1"/>
  <c r="C30" i="16"/>
  <c r="C73" i="16" l="1"/>
  <c r="X31" i="18" s="1"/>
  <c r="X32" i="18" s="1"/>
  <c r="B5" i="19"/>
  <c r="B3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7" authorId="0" shapeId="0" xr:uid="{CBFE6401-E3A1-41B3-B089-D328F456D165}">
      <text>
        <r>
          <rPr>
            <b/>
            <sz val="9"/>
            <color indexed="81"/>
            <rFont val="Segoe UI"/>
            <family val="2"/>
          </rPr>
          <t xml:space="preserve">1º Data: 06/08
</t>
        </r>
        <r>
          <rPr>
            <sz val="9"/>
            <color indexed="81"/>
            <rFont val="Segoe UI"/>
            <family val="2"/>
          </rPr>
          <t xml:space="preserve">
Reposição: 14/05; 19/05; 21/05;26/05; </t>
        </r>
      </text>
    </comment>
    <comment ref="T27" authorId="0" shapeId="0" xr:uid="{0EFB4929-47B9-4698-B3EC-5E53121EC7F9}">
      <text>
        <r>
          <rPr>
            <b/>
            <sz val="9"/>
            <color indexed="81"/>
            <rFont val="Segoe UI"/>
            <family val="2"/>
          </rPr>
          <t xml:space="preserve">1º Data Prevista - 16/06/2025 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28" authorId="0" shapeId="0" xr:uid="{517752E4-C1C3-43A4-913C-C83210DF2D6B}">
      <text>
        <r>
          <rPr>
            <b/>
            <sz val="9"/>
            <color indexed="81"/>
            <rFont val="Segoe UI"/>
            <family val="2"/>
          </rPr>
          <t>1º Previsão: 31/07
Reposição: 17/04; 08/05; 26/06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30" authorId="0" shapeId="0" xr:uid="{A011A81A-D066-4084-B814-FFFCE7E2E796}">
      <text>
        <r>
          <rPr>
            <b/>
            <sz val="9"/>
            <color indexed="81"/>
            <rFont val="Segoe UI"/>
            <family val="2"/>
          </rPr>
          <t xml:space="preserve">1º Data prevista - 22/08
Reposição - 30/05 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38" authorId="0" shapeId="0" xr:uid="{F2B55EE2-A8A0-4EBD-A91C-7500B6CE78DE}">
      <text>
        <r>
          <rPr>
            <b/>
            <sz val="9"/>
            <color indexed="81"/>
            <rFont val="Segoe UI"/>
            <family val="2"/>
          </rPr>
          <t>1º Data prevista - 27/10
Reposição: 29/05; 26/06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user</author>
  </authors>
  <commentList>
    <comment ref="E5" authorId="0" shapeId="0" xr:uid="{86918260-7A3D-4FF8-BB29-93F40DBBF48B}">
      <text>
        <r>
          <rPr>
            <sz val="9"/>
            <color indexed="62"/>
            <rFont val="Tahoma"/>
            <family val="2"/>
          </rPr>
          <t>Ano Novo</t>
        </r>
      </text>
    </comment>
    <comment ref="C14" authorId="0" shapeId="0" xr:uid="{416737AE-F2DA-4F73-81B7-0A93DFBFF299}">
      <text>
        <r>
          <rPr>
            <sz val="9"/>
            <color indexed="62"/>
            <rFont val="Tahoma"/>
            <family val="2"/>
          </rPr>
          <t>Carnaval (Segunda-Feira)</t>
        </r>
      </text>
    </comment>
    <comment ref="D14" authorId="0" shapeId="0" xr:uid="{50FAA85C-6959-4073-AF03-5B929D5B1B66}">
      <text>
        <r>
          <rPr>
            <sz val="9"/>
            <color indexed="62"/>
            <rFont val="Tahoma"/>
            <family val="2"/>
          </rPr>
          <t>Carnaval (Terça-Feira)</t>
        </r>
      </text>
    </comment>
    <comment ref="O15" authorId="0" shapeId="0" xr:uid="{D5069C8A-067A-4418-B729-51F4FD0806B1}">
      <text>
        <r>
          <rPr>
            <sz val="9"/>
            <color indexed="62"/>
            <rFont val="Tahoma"/>
            <family val="2"/>
          </rPr>
          <t>Sexta-Feira Santa</t>
        </r>
      </text>
    </comment>
    <comment ref="K16" authorId="0" shapeId="0" xr:uid="{A6655E17-F17A-481C-BD11-E90FD3AF3FF9}">
      <text>
        <r>
          <rPr>
            <sz val="9"/>
            <color indexed="62"/>
            <rFont val="Tahoma"/>
            <family val="2"/>
          </rPr>
          <t>Tiradentes</t>
        </r>
      </text>
    </comment>
    <comment ref="F22" authorId="0" shapeId="0" xr:uid="{B228A2DE-8726-452D-BB2D-941E5D30787E}">
      <text>
        <r>
          <rPr>
            <sz val="9"/>
            <color indexed="62"/>
            <rFont val="Tahoma"/>
            <family val="2"/>
          </rPr>
          <t>Dia do Trabalho</t>
        </r>
      </text>
    </comment>
    <comment ref="N24" authorId="0" shapeId="0" xr:uid="{4F427BBD-D39A-4335-883E-BF3926518ED6}">
      <text>
        <r>
          <rPr>
            <sz val="9"/>
            <color indexed="62"/>
            <rFont val="Tahoma"/>
            <family val="2"/>
          </rPr>
          <t>Corpus Christi</t>
        </r>
      </text>
    </comment>
    <comment ref="E31" authorId="1" shapeId="0" xr:uid="{23D950EF-AD03-4762-893B-771859CACB70}">
      <text>
        <r>
          <rPr>
            <b/>
            <sz val="9"/>
            <color indexed="81"/>
            <rFont val="Segoe UI"/>
            <family val="2"/>
          </rPr>
          <t>Revolução 32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33" authorId="1" shapeId="0" xr:uid="{59338EEB-D035-49AF-8EFF-FF2F86493144}">
      <text>
        <r>
          <rPr>
            <b/>
            <sz val="9"/>
            <color indexed="81"/>
            <rFont val="Segoe UI"/>
            <family val="2"/>
          </rPr>
          <t>Sant'Ana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39" authorId="1" shapeId="0" xr:uid="{DAFED2B3-51C2-4C28-9019-FCE73D320E6F}">
      <text>
        <r>
          <rPr>
            <b/>
            <sz val="9"/>
            <color indexed="81"/>
            <rFont val="Segoe UI"/>
            <family val="2"/>
          </rPr>
          <t>Aniversário de Mogi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40" authorId="0" shapeId="0" xr:uid="{E427B0AE-F095-4C7D-9D26-ACCA49AEEABB}">
      <text>
        <r>
          <rPr>
            <sz val="9"/>
            <color indexed="62"/>
            <rFont val="Tahoma"/>
            <family val="2"/>
          </rPr>
          <t>Independência do Brasil</t>
        </r>
      </text>
    </comment>
    <comment ref="J41" authorId="0" shapeId="0" xr:uid="{5AB8EA72-4941-4689-A260-6B51DF0D2DD4}">
      <text>
        <r>
          <rPr>
            <sz val="9"/>
            <color indexed="62"/>
            <rFont val="Tahoma"/>
            <family val="2"/>
          </rPr>
          <t>Nossa Senhora de Aparecida</t>
        </r>
      </text>
    </comment>
    <comment ref="M41" authorId="1" shapeId="0" xr:uid="{79ADC617-A957-4A54-9873-E1417C6FFB2E}">
      <text>
        <r>
          <rPr>
            <b/>
            <sz val="9"/>
            <color indexed="81"/>
            <rFont val="Segoe UI"/>
            <family val="2"/>
          </rPr>
          <t>Fundação Anna de Moura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48" authorId="0" shapeId="0" xr:uid="{8F40967A-F54B-4675-8A5F-04DB0E8BC2FA}">
      <text>
        <r>
          <rPr>
            <sz val="9"/>
            <color indexed="62"/>
            <rFont val="Tahoma"/>
            <family val="2"/>
          </rPr>
          <t>Finados (Dia dos Mortos)</t>
        </r>
      </text>
    </comment>
    <comment ref="H49" authorId="0" shapeId="0" xr:uid="{B76050BE-F64B-460F-B4DF-1520F33CE211}">
      <text>
        <r>
          <rPr>
            <sz val="9"/>
            <color indexed="62"/>
            <rFont val="Tahoma"/>
            <family val="2"/>
          </rPr>
          <t>Proclamação da República</t>
        </r>
      </text>
    </comment>
    <comment ref="F50" authorId="1" shapeId="0" xr:uid="{497DB557-48EA-43FC-91CA-E328E739CF4D}">
      <text>
        <r>
          <rPr>
            <b/>
            <sz val="9"/>
            <color indexed="81"/>
            <rFont val="Segoe UI"/>
            <family val="2"/>
          </rPr>
          <t>Consciência Negra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N50" authorId="0" shapeId="0" xr:uid="{B14335EA-7DD1-465A-BF62-5567C93F14B8}">
      <text>
        <r>
          <rPr>
            <sz val="9"/>
            <color indexed="62"/>
            <rFont val="Tahoma"/>
            <family val="2"/>
          </rPr>
          <t>Natal</t>
        </r>
      </text>
    </comment>
  </commentList>
</comments>
</file>

<file path=xl/sharedStrings.xml><?xml version="1.0" encoding="utf-8"?>
<sst xmlns="http://schemas.openxmlformats.org/spreadsheetml/2006/main" count="1712" uniqueCount="435">
  <si>
    <t>Início</t>
  </si>
  <si>
    <t>Carga Horária</t>
  </si>
  <si>
    <t>Curso</t>
  </si>
  <si>
    <t>Público</t>
  </si>
  <si>
    <t>Fonte Pagadora</t>
  </si>
  <si>
    <t>Anna de Moura</t>
  </si>
  <si>
    <t>Duração</t>
  </si>
  <si>
    <t>Carga Horária / dia</t>
  </si>
  <si>
    <t>Dias Letivos</t>
  </si>
  <si>
    <t>Fim</t>
  </si>
  <si>
    <t>Entrada</t>
  </si>
  <si>
    <t>Saída</t>
  </si>
  <si>
    <t>Valor/ Hora</t>
  </si>
  <si>
    <t>Total</t>
  </si>
  <si>
    <t>Certificação</t>
  </si>
  <si>
    <t>SENAI</t>
  </si>
  <si>
    <t>Seg</t>
  </si>
  <si>
    <t>Ter</t>
  </si>
  <si>
    <t>Qua</t>
  </si>
  <si>
    <t>Qui</t>
  </si>
  <si>
    <t>Sex</t>
  </si>
  <si>
    <t>Contrib.</t>
  </si>
  <si>
    <t>Professor</t>
  </si>
  <si>
    <t>DADOS DOS TREINAMENTOS</t>
  </si>
  <si>
    <t>DADOS DA ENTIDADE</t>
  </si>
  <si>
    <t>CONVENIADA</t>
  </si>
  <si>
    <t>Instituto Anna de Moura – Fundação</t>
  </si>
  <si>
    <t>MUNICÍPIO</t>
  </si>
  <si>
    <t>Mogi das Cruzes</t>
  </si>
  <si>
    <t>Nº DO PROCESSO</t>
  </si>
  <si>
    <t>COORDENADOR(A) DO PROJETO</t>
  </si>
  <si>
    <t>Idilene Pieretti Berton</t>
  </si>
  <si>
    <t>TELEFONE</t>
  </si>
  <si>
    <t xml:space="preserve">11 4727-4122 / </t>
  </si>
  <si>
    <t>11 9 9795-0255</t>
  </si>
  <si>
    <t xml:space="preserve"> E-MAIL</t>
  </si>
  <si>
    <t>institutoannademoura@gmail.com</t>
  </si>
  <si>
    <t>LOCAL DA REALIZAÇÃO (Rua, Av., nº e complemento)</t>
  </si>
  <si>
    <t>Rua Vasco Cinquini, 53, Jardim Aeroporto III, Mogi das Cruzes, SP, 08761-310</t>
  </si>
  <si>
    <t>ESCOLA SENAI</t>
  </si>
  <si>
    <t>DADOS DO CURSO</t>
  </si>
  <si>
    <t>NÍVEL DE OFERTA</t>
  </si>
  <si>
    <t>TÍTULO DO CURSO</t>
  </si>
  <si>
    <t>CARGA HORÁRIA</t>
  </si>
  <si>
    <t>ÁREA TECNOLÓGICA</t>
  </si>
  <si>
    <t xml:space="preserve">( X ) PLANO DE CURSO </t>
  </si>
  <si>
    <t xml:space="preserve">( X ) FICHA DE PRODUTO </t>
  </si>
  <si>
    <t>ORGANIZAÇÃO DAS TURMAS</t>
  </si>
  <si>
    <t>TURMA</t>
  </si>
  <si>
    <t>DATAS</t>
  </si>
  <si>
    <t>DIAS DA SEMANA</t>
  </si>
  <si>
    <t>HORÁRIO</t>
  </si>
  <si>
    <t>Nº DE PARTICIPANTES</t>
  </si>
  <si>
    <t>CÓDIGO DA TURMA (SENAI)</t>
  </si>
  <si>
    <t>INÍCIO</t>
  </si>
  <si>
    <t>TÉRMINO</t>
  </si>
  <si>
    <t>2ª</t>
  </si>
  <si>
    <t>3ª</t>
  </si>
  <si>
    <t>4ª</t>
  </si>
  <si>
    <t>5ª</t>
  </si>
  <si>
    <t>6ª</t>
  </si>
  <si>
    <t>S</t>
  </si>
  <si>
    <t>D</t>
  </si>
  <si>
    <t>     </t>
  </si>
  <si>
    <t>(Acrescentar linhas quando necessário)</t>
  </si>
  <si>
    <t>ASSINATURAS</t>
  </si>
  <si>
    <t>ASSINATURA:</t>
  </si>
  <si>
    <t>DATA:</t>
  </si>
  <si>
    <t>NOME:</t>
  </si>
  <si>
    <t>IDILENE PIERETTI BERTON</t>
  </si>
  <si>
    <t xml:space="preserve">CARGO: </t>
  </si>
  <si>
    <t>DIRETORA DO NÚCLEO</t>
  </si>
  <si>
    <t>Valor Previsto</t>
  </si>
  <si>
    <t>VALOR EXECUTADO</t>
  </si>
  <si>
    <t>Tecnologia da Informação</t>
  </si>
  <si>
    <t>Planejamento - 2025</t>
  </si>
  <si>
    <t>Gestão</t>
  </si>
  <si>
    <t>Auxiliar Administrativo</t>
  </si>
  <si>
    <t>Pacote Office</t>
  </si>
  <si>
    <t>Informática Básica</t>
  </si>
  <si>
    <t>Área</t>
  </si>
  <si>
    <t>Nível</t>
  </si>
  <si>
    <t>Qualificação</t>
  </si>
  <si>
    <t>Aperfeiçoamento</t>
  </si>
  <si>
    <t>Iniciação</t>
  </si>
  <si>
    <t>Turma</t>
  </si>
  <si>
    <t>Liderança</t>
  </si>
  <si>
    <t>Microsoft Power BI</t>
  </si>
  <si>
    <t>Eletricista Instalador</t>
  </si>
  <si>
    <t>Comandos Elétricos</t>
  </si>
  <si>
    <t>Eletroeletrônica - Eletricidade</t>
  </si>
  <si>
    <t>Metalmecânica - Mecânica</t>
  </si>
  <si>
    <t>Logística e Transporte</t>
  </si>
  <si>
    <t>ID</t>
  </si>
  <si>
    <t>Liderança Gestão Estratégica de Equipes</t>
  </si>
  <si>
    <t>Operador Logística</t>
  </si>
  <si>
    <t>Inspetor Qualidade</t>
  </si>
  <si>
    <t>Capac. Máx.</t>
  </si>
  <si>
    <t>Sáb</t>
  </si>
  <si>
    <t>Padrão</t>
  </si>
  <si>
    <t>x</t>
  </si>
  <si>
    <t>Calendário 2025 - Brasil</t>
  </si>
  <si>
    <r>
      <t xml:space="preserve">Cortesia de </t>
    </r>
    <r>
      <rPr>
        <b/>
        <sz val="12"/>
        <color rgb="FF4175B5"/>
        <rFont val="Calibri"/>
        <family val="2"/>
        <scheme val="minor"/>
      </rPr>
      <t>WinCalendar.com</t>
    </r>
  </si>
  <si>
    <t>Calendário do ano inteiro em uma página.</t>
  </si>
  <si>
    <t>Janeiro 2025</t>
  </si>
  <si>
    <t>Fevereiro 2025</t>
  </si>
  <si>
    <t>Data</t>
  </si>
  <si>
    <t>Feriado</t>
  </si>
  <si>
    <t>Dom</t>
  </si>
  <si>
    <t>Ano Novo</t>
  </si>
  <si>
    <t>Carnaval (Segunda-Feira)</t>
  </si>
  <si>
    <t>Carnaval (Terça-Feira)</t>
  </si>
  <si>
    <t>Sexta-Feira Santa</t>
  </si>
  <si>
    <t>Tiradentes</t>
  </si>
  <si>
    <t>Dia do Trabalho</t>
  </si>
  <si>
    <t>Corpus Christi</t>
  </si>
  <si>
    <t>Março 2025</t>
  </si>
  <si>
    <t>Abril 2025</t>
  </si>
  <si>
    <t>Revolução 32</t>
  </si>
  <si>
    <t>Sant'Ana</t>
  </si>
  <si>
    <t>Aniversári Mogi</t>
  </si>
  <si>
    <t>Independência do Brasil</t>
  </si>
  <si>
    <t>Nossa Senhora de Aparecida</t>
  </si>
  <si>
    <t>Finados (Dia dos Mortos)</t>
  </si>
  <si>
    <t>Proclamação da República</t>
  </si>
  <si>
    <t>Consciência Negra</t>
  </si>
  <si>
    <t>Natal</t>
  </si>
  <si>
    <t>Maio 2025</t>
  </si>
  <si>
    <t>Junho 2025</t>
  </si>
  <si>
    <t>Julho 2025</t>
  </si>
  <si>
    <t>Agosto 2025</t>
  </si>
  <si>
    <t>Setembro 2025</t>
  </si>
  <si>
    <t>Outubro 2025</t>
  </si>
  <si>
    <t>Novembro 2025</t>
  </si>
  <si>
    <t>Dezembro 2025</t>
  </si>
  <si>
    <t>Para a versão online deste calendário, consulte:</t>
  </si>
  <si>
    <t>https://www.wincalendar.com/calendario/Brasil-2025</t>
  </si>
  <si>
    <t>T1</t>
  </si>
  <si>
    <t>T2</t>
  </si>
  <si>
    <t>X</t>
  </si>
  <si>
    <t>(+) 50</t>
  </si>
  <si>
    <t>Manicure</t>
  </si>
  <si>
    <t>Edmilton</t>
  </si>
  <si>
    <t>Rafael</t>
  </si>
  <si>
    <t>Juliana</t>
  </si>
  <si>
    <t>Futsal</t>
  </si>
  <si>
    <t>RH - Banda 2025</t>
  </si>
  <si>
    <t>Fevereiro</t>
  </si>
  <si>
    <t>Design Sobrancelha</t>
  </si>
  <si>
    <t>Ginastica</t>
  </si>
  <si>
    <t>15 - 16 -17</t>
  </si>
  <si>
    <t>13-14</t>
  </si>
  <si>
    <t>Teatro</t>
  </si>
  <si>
    <t>Inglês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</si>
  <si>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</si>
  <si>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</si>
  <si>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</si>
  <si>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</si>
  <si>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</si>
  <si>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</si>
  <si>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</si>
  <si>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</si>
  <si>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</si>
  <si>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</si>
  <si>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</si>
  <si>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Quant. Dias</t>
  </si>
  <si>
    <t>Valor/hora</t>
  </si>
  <si>
    <t>Horas/dia</t>
  </si>
  <si>
    <t>Valor/dia</t>
  </si>
  <si>
    <t>Valor / Mensal</t>
  </si>
  <si>
    <t>Total RH</t>
  </si>
  <si>
    <t>Apresentações</t>
  </si>
  <si>
    <t>Dia das mães</t>
  </si>
  <si>
    <t>Natal - Mogi</t>
  </si>
  <si>
    <t>Natal - Suzano</t>
  </si>
  <si>
    <t>Natal - Urupema</t>
  </si>
  <si>
    <t>Valor  Total</t>
  </si>
  <si>
    <t>Total Apresentações</t>
  </si>
  <si>
    <t>Porteiro</t>
  </si>
  <si>
    <t>Beleza e Saúde</t>
  </si>
  <si>
    <t>Esporte</t>
  </si>
  <si>
    <t>Arte e Cultura</t>
  </si>
  <si>
    <t>Idiomas</t>
  </si>
  <si>
    <t>Férias</t>
  </si>
  <si>
    <t>Ana Flavia Eilliar Bianchini</t>
  </si>
  <si>
    <t>Ronaldo Moro</t>
  </si>
  <si>
    <t>Danilo Ressutti Mendes</t>
  </si>
  <si>
    <t>João Kleber Indena Martins</t>
  </si>
  <si>
    <t>Ronaldo Borba</t>
  </si>
  <si>
    <t>Eliane Aparecida dos Santos Lima</t>
  </si>
  <si>
    <t>Robson da Silva Gonçalves</t>
  </si>
  <si>
    <t>Irene Stephani</t>
  </si>
  <si>
    <t>Agatha Cristina dos Santos Marcondes</t>
  </si>
  <si>
    <t>Ingrid de Assis</t>
  </si>
  <si>
    <t>Karina Stolemberger</t>
  </si>
  <si>
    <t>Wanderly Francisca Nepomuceno</t>
  </si>
  <si>
    <t>Dia dos Professores</t>
  </si>
  <si>
    <t>15 a 17</t>
  </si>
  <si>
    <t>(+) 18</t>
  </si>
  <si>
    <t>(+) 16</t>
  </si>
  <si>
    <t>(+) 14</t>
  </si>
  <si>
    <t>Culinaria 1</t>
  </si>
  <si>
    <t>Culinaria 2</t>
  </si>
  <si>
    <t>Culinaria 3</t>
  </si>
  <si>
    <t>Culinaria 4</t>
  </si>
  <si>
    <t>Culinaria 5</t>
  </si>
  <si>
    <t>Culinaria 6</t>
  </si>
  <si>
    <t>Quinta-Feira Santa</t>
  </si>
  <si>
    <t xml:space="preserve">ID </t>
  </si>
  <si>
    <t>Edmilton / Juliana / Rafael</t>
  </si>
  <si>
    <t>Contribuição</t>
  </si>
  <si>
    <t>Moda</t>
  </si>
  <si>
    <t>Sorvetes Artesanais</t>
  </si>
  <si>
    <t>Alimentos</t>
  </si>
  <si>
    <t>Pães Especiais</t>
  </si>
  <si>
    <t>Massas Folhadas</t>
  </si>
  <si>
    <t>Cafeteria</t>
  </si>
  <si>
    <t>Massas Frescas e Molhos</t>
  </si>
  <si>
    <t>Planejamento 1º Semestre/2025</t>
  </si>
  <si>
    <t>Quant. Alunos</t>
  </si>
  <si>
    <t xml:space="preserve">Valor </t>
  </si>
  <si>
    <t>Total Cursos</t>
  </si>
  <si>
    <t>Gratuidade</t>
  </si>
  <si>
    <t>Convênio</t>
  </si>
  <si>
    <t>Quantidade de  Cursos</t>
  </si>
  <si>
    <t>Petit Four (Doce e Salgado)</t>
  </si>
  <si>
    <t>Patricia Turetti</t>
  </si>
  <si>
    <t>Período</t>
  </si>
  <si>
    <t>Noite</t>
  </si>
  <si>
    <t>Manhã</t>
  </si>
  <si>
    <t>Tarde</t>
  </si>
  <si>
    <t>Banda</t>
  </si>
  <si>
    <t>Entre 14 e 18 anos</t>
  </si>
  <si>
    <t>Aprenda a Ajustar e Reformar Roupas</t>
  </si>
  <si>
    <t>Ajust_Ref_T1</t>
  </si>
  <si>
    <t>Aprenda a Fabricar e Vender Cupcakes e Bolos Caseiros</t>
  </si>
  <si>
    <t>Cup_Bolo_T1</t>
  </si>
  <si>
    <t>Costureiro de Máquina Reta e Overloque</t>
  </si>
  <si>
    <t>Cost_Maq_T1</t>
  </si>
  <si>
    <t>Cost_Maq_T2</t>
  </si>
  <si>
    <t>(+18)</t>
  </si>
  <si>
    <t>-</t>
  </si>
  <si>
    <t>Operador de Micro</t>
  </si>
  <si>
    <t>Análise Termográfica</t>
  </si>
  <si>
    <t>Elaboração de Laudos para Instalações Elétricas</t>
  </si>
  <si>
    <t>Inspetor de Qualidade</t>
  </si>
  <si>
    <t>Edilson Rosa</t>
  </si>
  <si>
    <t>Valor RH</t>
  </si>
  <si>
    <t>Valor Insumo</t>
  </si>
  <si>
    <t>Auxiliar de Almoxarifado</t>
  </si>
  <si>
    <t>AuxAlm_T1</t>
  </si>
  <si>
    <t>José Elnir</t>
  </si>
  <si>
    <t>T3</t>
  </si>
  <si>
    <t>Ana Carolina Pereira Araujo</t>
  </si>
  <si>
    <t>Planejamento Controle de Produção</t>
  </si>
  <si>
    <t>Silvio Cordeiro</t>
  </si>
  <si>
    <t>Manutenção Produtiva Total</t>
  </si>
  <si>
    <t>Leitura Interpretação de Desenho Técnico Mecânico</t>
  </si>
  <si>
    <t>Alison Silva</t>
  </si>
  <si>
    <t>Diego Tertulino</t>
  </si>
  <si>
    <t>Excel Básico</t>
  </si>
  <si>
    <t>Op_Micro_T1</t>
  </si>
  <si>
    <t>Status</t>
  </si>
  <si>
    <t>Cassio Portugal Melo</t>
  </si>
  <si>
    <t>(+) 15</t>
  </si>
  <si>
    <t>Ismael Alves de Faria</t>
  </si>
  <si>
    <t>Pizzas</t>
  </si>
  <si>
    <t>Escola de Líderes</t>
  </si>
  <si>
    <t>EscLid_T1</t>
  </si>
  <si>
    <t>Crescer - Pref.</t>
  </si>
  <si>
    <t>15 a 24</t>
  </si>
  <si>
    <t>Prefeitura de Mogi</t>
  </si>
  <si>
    <t>Total Geral</t>
  </si>
  <si>
    <t>Sidney Nunes</t>
  </si>
  <si>
    <t>Ferramentas Qualidade</t>
  </si>
  <si>
    <t>Tecnicas de Costura para Tecido Plano e Malha</t>
  </si>
  <si>
    <t>CosPlanMa_T1</t>
  </si>
  <si>
    <t>MicPow_T1</t>
  </si>
  <si>
    <t>T4</t>
  </si>
  <si>
    <t>14 a 18 ANOS</t>
  </si>
  <si>
    <t>Inglês Avançado</t>
  </si>
  <si>
    <t>Maquiagem</t>
  </si>
  <si>
    <t>Valor Executado</t>
  </si>
  <si>
    <t>Valor RH / Executado</t>
  </si>
  <si>
    <t>CONTRATAÇÃO DE PROFISSIONAIS</t>
  </si>
  <si>
    <t>Subtotal - Contratação de Profissionais</t>
  </si>
  <si>
    <t>5.1</t>
  </si>
  <si>
    <t>Acessórios de instrumentos - Banda</t>
  </si>
  <si>
    <t>Maercado Pago</t>
  </si>
  <si>
    <t>Subtotal - Acessórios de  Instrumentos - Banda</t>
  </si>
  <si>
    <t>5.2</t>
  </si>
  <si>
    <t>MANUTENÇÃO DE EQUIPAMENTOS</t>
  </si>
  <si>
    <t>Aguinaldo Henrique Pires - Luthier Pires (Banda)</t>
  </si>
  <si>
    <t>Subtotal - Manutenção de Equipamentos</t>
  </si>
  <si>
    <t>Valor</t>
  </si>
  <si>
    <t>1º Sem/2025</t>
  </si>
  <si>
    <t>AuxAdm_T1</t>
  </si>
  <si>
    <t>PacOff_T1</t>
  </si>
  <si>
    <t>PacOff_T2</t>
  </si>
  <si>
    <t>Por _T1</t>
  </si>
  <si>
    <t>Fev</t>
  </si>
  <si>
    <t>Mar</t>
  </si>
  <si>
    <t>Ban _T1</t>
  </si>
  <si>
    <t>Fut _T1</t>
  </si>
  <si>
    <t>Fut _T2</t>
  </si>
  <si>
    <t>LidGes_T1</t>
  </si>
  <si>
    <t>Ing _T1</t>
  </si>
  <si>
    <t>Ing _T2</t>
  </si>
  <si>
    <t>Inglês 1</t>
  </si>
  <si>
    <t>Inglês 2</t>
  </si>
  <si>
    <t>Gin _T1</t>
  </si>
  <si>
    <t>Man _T1</t>
  </si>
  <si>
    <t>InfBás_T1</t>
  </si>
  <si>
    <t>SorArt_T1</t>
  </si>
  <si>
    <t>PãeEsp_T1</t>
  </si>
  <si>
    <t>MasFol_T1</t>
  </si>
  <si>
    <t>Caf _T1</t>
  </si>
  <si>
    <t>Piz _T1</t>
  </si>
  <si>
    <t>MasFre_T1</t>
  </si>
  <si>
    <t>DesSob_T1</t>
  </si>
  <si>
    <t>Tea _T1</t>
  </si>
  <si>
    <t>Valor Insumo / Executado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</si>
  <si>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</si>
  <si>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</si>
  <si>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</si>
  <si>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</si>
  <si>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</si>
  <si>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</si>
  <si>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</si>
  <si>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</si>
  <si>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</si>
  <si>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dez</t>
  </si>
  <si>
    <t>R$ Valor Previsto</t>
  </si>
  <si>
    <t>Total 1º Semestre</t>
  </si>
  <si>
    <t>Total 2º Semestre</t>
  </si>
  <si>
    <t>Total 2025</t>
  </si>
  <si>
    <t>Valor empenhado</t>
  </si>
  <si>
    <t>Saldo Disponível</t>
  </si>
  <si>
    <t>1º Semestre</t>
  </si>
  <si>
    <t>2º Semestre</t>
  </si>
  <si>
    <t>Fonte Pagadora / Certificação</t>
  </si>
  <si>
    <t>Quant. de Cursos</t>
  </si>
  <si>
    <t>Panetones</t>
  </si>
  <si>
    <t>Senai</t>
  </si>
  <si>
    <t>Desenvolvimento Capacidades Socioemocionais</t>
  </si>
  <si>
    <t>nov</t>
  </si>
  <si>
    <t>Bolo no Pote</t>
  </si>
  <si>
    <t>Anderson / Marcelo</t>
  </si>
  <si>
    <t>Jorge Guimarães</t>
  </si>
  <si>
    <t>Elaboração de Laudos Para Instalações Elétricas</t>
  </si>
  <si>
    <t>Ilso Cruz</t>
  </si>
  <si>
    <t>As horas entre o dia 04 e 25 de novembro será diluida nas aulas.</t>
  </si>
  <si>
    <t>Coluna1</t>
  </si>
  <si>
    <t>Ciro Mendes</t>
  </si>
  <si>
    <t>Montagem de Painéis Elétricos</t>
  </si>
  <si>
    <t>Kaizen</t>
  </si>
  <si>
    <t>Daniel F. Junior</t>
  </si>
  <si>
    <t>As horas do dia 04/09 será diluida nas aulas.</t>
  </si>
  <si>
    <t>Power BI</t>
  </si>
  <si>
    <t>Salgados Fritos</t>
  </si>
  <si>
    <t>Rotinas Administrativas</t>
  </si>
  <si>
    <t>Excelência no Atendimento</t>
  </si>
  <si>
    <t>Fabiane</t>
  </si>
  <si>
    <t>Costureiro de Conserto e Reforma de Roupas</t>
  </si>
  <si>
    <t>ConsRef_T1</t>
  </si>
  <si>
    <t>Lógistica e Transporte</t>
  </si>
  <si>
    <t>Excel Avançado</t>
  </si>
  <si>
    <t>Horário de Atendimento</t>
  </si>
  <si>
    <t>A partir do dia 22/07/2025</t>
  </si>
  <si>
    <t>Terça, Quarta e Quinta</t>
  </si>
  <si>
    <t>Segunda e Sexta</t>
  </si>
  <si>
    <t>24 a 27/06/25</t>
  </si>
  <si>
    <t>01 a 21/7/25</t>
  </si>
  <si>
    <t>Operador de Logistica</t>
  </si>
  <si>
    <t>Quantidade de Cursos</t>
  </si>
  <si>
    <t>Cursos</t>
  </si>
  <si>
    <t>Financeiro</t>
  </si>
  <si>
    <t>T5</t>
  </si>
  <si>
    <t>(+14)</t>
  </si>
  <si>
    <t>Prevenção a Incêndio</t>
  </si>
  <si>
    <t>PrevInc_T1</t>
  </si>
  <si>
    <t>InfBás_T4</t>
  </si>
  <si>
    <t>Ronaldo Moro  ( - Aux. Administrativo)</t>
  </si>
  <si>
    <t>Ronaldo Benicasa Moreira (Informática)</t>
  </si>
  <si>
    <t>EDMILTON FELIPE TOLOSA LEAL (Banda)</t>
  </si>
  <si>
    <t>JULIANA COUTINHO DE SOUZA - (Banda)</t>
  </si>
  <si>
    <t>AGATHA CRISTINA DOS SANTOS MARCONDES (Futsal)</t>
  </si>
  <si>
    <t>Ana Flávia Eilliar Biachini SENAI - Liderança e desenvolvimento)</t>
  </si>
  <si>
    <t>RAPHAEL PEREIRA RODRIGUES (Banda)</t>
  </si>
  <si>
    <t>WANDERLY FRANCISCA NEPOMUCENO (Inglês e Espanol)</t>
  </si>
  <si>
    <t>INGRID DE ASSIS JORGE(Ginástica)</t>
  </si>
  <si>
    <t>IRENE STEFANI SILVA MEDINA (MANICURE)</t>
  </si>
  <si>
    <t>ROBSON  DA SILVA GONCALVES (informática)</t>
  </si>
  <si>
    <t>DANILO RESSUTTI MENDES (CULINÁRIA)</t>
  </si>
  <si>
    <t>KARINA STOLEMBERGER DA SILVA (Teatro)</t>
  </si>
  <si>
    <t>JOÃO KLEBER INDENA MARTINS</t>
  </si>
  <si>
    <t>Fichas e Documentos dos Alunos</t>
  </si>
  <si>
    <t>Aperfeiçoamento Profissional</t>
  </si>
  <si>
    <t>Aperfeiçoamento Profissional Profissional</t>
  </si>
  <si>
    <t>Qualificação Profissional</t>
  </si>
  <si>
    <t>Qualificação Profissional Profissional</t>
  </si>
  <si>
    <t>Iniciação Profissional</t>
  </si>
  <si>
    <t>Iniciação Profissional Profissional</t>
  </si>
  <si>
    <t>Conveniada:</t>
  </si>
  <si>
    <t>Instituto Anna de Moura - Fundação</t>
  </si>
  <si>
    <t>Início Previsto</t>
  </si>
  <si>
    <t>Término Previsto</t>
  </si>
  <si>
    <t>Tipo de Contrato</t>
  </si>
  <si>
    <t>SEBRAE</t>
  </si>
  <si>
    <t>SEBRAE/SENAI</t>
  </si>
  <si>
    <t>Tipo de Parceria:</t>
  </si>
  <si>
    <t>Total 1º Sem.</t>
  </si>
  <si>
    <t>Construção Civil</t>
  </si>
  <si>
    <t>Técnicas para Pintura Predial</t>
  </si>
  <si>
    <t>PinPre_T1</t>
  </si>
  <si>
    <t>Sala</t>
  </si>
  <si>
    <t>02 - Sala de Aula</t>
  </si>
  <si>
    <t>03 - Sala de Aula</t>
  </si>
  <si>
    <t>04 - Sala de Aula</t>
  </si>
  <si>
    <t>05 - Sala de Aula</t>
  </si>
  <si>
    <t>06 - Laboratório de Informática</t>
  </si>
  <si>
    <t>07 - Sala de Aula</t>
  </si>
  <si>
    <t>08 - Sala de Aula</t>
  </si>
  <si>
    <t>09 - Laboratório Informática</t>
  </si>
  <si>
    <t>32 - Corte e Costura I</t>
  </si>
  <si>
    <t>E - Cozinha Experimental</t>
  </si>
  <si>
    <t>F - Sala de Aula</t>
  </si>
  <si>
    <t>M - Laboratório de Elétrica</t>
  </si>
  <si>
    <t>Auditório</t>
  </si>
  <si>
    <t>Quadra</t>
  </si>
  <si>
    <t>Cancelado</t>
  </si>
  <si>
    <t>PlaCon_T2</t>
  </si>
  <si>
    <t>Kleber</t>
  </si>
  <si>
    <t>Brandon</t>
  </si>
  <si>
    <t>Sidney / Ismael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</si>
</sst>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[h]:mm"/>
    <numFmt numFmtId="165" formatCode="[$-416]d\-mmm;@"/>
    <numFmt numFmtId="166" formatCode="mmmm\ yyyy"/>
    <numFmt numFmtId="167" formatCode="[$-416]d\ mmm;@"/>
    <numFmt numFmtId="168" formatCode="ddd"/>
    <numFmt numFmtId="169" formatCode="d"/>
    <numFmt numFmtId="170" formatCode="0.0"/>
    <numFmt numFmtId="171" formatCode="[$-F400]h:mm:ss\ AM/PM"/>
    <numFmt numFmtId="172" formatCode="[$-416]mmm\-yy;@"/>
  </numFmts>
  <fonts count="5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8"/>
      <color rgb="FF000000"/>
      <name val="Arial"/>
      <family val="2"/>
    </font>
    <font>
      <sz val="4"/>
      <color theme="1"/>
      <name val="Times New Roman"/>
      <family val="1"/>
    </font>
    <font>
      <sz val="6"/>
      <color theme="1"/>
      <name val="Arial"/>
      <family val="2"/>
    </font>
    <font>
      <sz val="1"/>
      <color theme="1"/>
      <name val="Arial"/>
      <family val="2"/>
    </font>
    <font>
      <b/>
      <sz val="6"/>
      <color theme="1"/>
      <name val="Arial"/>
      <family val="2"/>
    </font>
    <font>
      <i/>
      <sz val="8"/>
      <color theme="1"/>
      <name val="Arial"/>
      <family val="2"/>
    </font>
    <font>
      <sz val="9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5"/>
      <color rgb="FF244062"/>
      <name val="Calibri"/>
      <family val="2"/>
      <scheme val="minor"/>
    </font>
    <font>
      <sz val="11"/>
      <color rgb="FF244062"/>
      <name val="Calibri"/>
      <family val="2"/>
      <scheme val="minor"/>
    </font>
    <font>
      <b/>
      <sz val="12"/>
      <color rgb="FF4175B5"/>
      <name val="Calibri"/>
      <family val="2"/>
      <scheme val="minor"/>
    </font>
    <font>
      <sz val="10"/>
      <name val="Arial"/>
      <family val="2"/>
    </font>
    <font>
      <b/>
      <sz val="12"/>
      <color rgb="FF263E74"/>
      <name val="Arial"/>
      <family val="2"/>
    </font>
    <font>
      <b/>
      <sz val="14"/>
      <color rgb="FF263E74"/>
      <name val="Arial"/>
      <family val="2"/>
    </font>
    <font>
      <sz val="11"/>
      <color rgb="FF263E74"/>
      <name val="Calibri"/>
      <family val="2"/>
      <scheme val="minor"/>
    </font>
    <font>
      <sz val="11"/>
      <color rgb="FF263E74"/>
      <name val="Arial Narrow"/>
      <family val="2"/>
    </font>
    <font>
      <b/>
      <sz val="10"/>
      <color rgb="FFFFFFCC"/>
      <name val="Arial"/>
      <family val="2"/>
    </font>
    <font>
      <b/>
      <sz val="10"/>
      <color rgb="FFFFFFFF"/>
      <name val="Arial"/>
      <family val="2"/>
    </font>
    <font>
      <sz val="9"/>
      <color indexed="8"/>
      <name val="Arial Narrow"/>
      <family val="2"/>
    </font>
    <font>
      <sz val="9"/>
      <color rgb="FF263E74"/>
      <name val="Arial Narrow"/>
      <family val="2"/>
    </font>
    <font>
      <b/>
      <sz val="10"/>
      <color rgb="FF641A1A"/>
      <name val="Arial"/>
      <family val="2"/>
    </font>
    <font>
      <b/>
      <sz val="10"/>
      <color rgb="FF263E74"/>
      <name val="Arial"/>
      <family val="2"/>
    </font>
    <font>
      <sz val="11"/>
      <color theme="1"/>
      <name val="Arial Narrow"/>
      <family val="2"/>
    </font>
    <font>
      <sz val="10"/>
      <color rgb="FF6D84A3"/>
      <name val="Calibri"/>
      <family val="2"/>
    </font>
    <font>
      <sz val="10"/>
      <color rgb="FF226EB4"/>
      <name val="Calibri"/>
      <family val="2"/>
      <scheme val="minor"/>
    </font>
    <font>
      <sz val="9"/>
      <color indexed="62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indexed="8"/>
      <name val="Arial"/>
      <family val="2"/>
    </font>
    <font>
      <b/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</font>
    <font>
      <b/>
      <sz val="8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36"/>
      <color theme="1"/>
      <name val="Arial"/>
      <family val="2"/>
    </font>
    <font>
      <sz val="48"/>
      <color theme="1"/>
      <name val="Arial"/>
      <family val="2"/>
    </font>
    <font>
      <sz val="20"/>
      <color theme="1"/>
      <name val="Arial"/>
      <family val="2"/>
    </font>
    <font>
      <b/>
      <sz val="18"/>
      <color theme="1"/>
      <name val="Arial"/>
      <family val="2"/>
    </font>
    <font>
      <b/>
      <sz val="1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EE3EA"/>
        <bgColor indexed="64"/>
      </patternFill>
    </fill>
    <fill>
      <patternFill patternType="solid">
        <fgColor rgb="FF415D8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677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DBB7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18DB7"/>
      </left>
      <right/>
      <top style="thin">
        <color rgb="FF718DB7"/>
      </top>
      <bottom/>
      <diagonal/>
    </border>
    <border>
      <left/>
      <right/>
      <top style="thin">
        <color rgb="FF718DB7"/>
      </top>
      <bottom/>
      <diagonal/>
    </border>
    <border>
      <left/>
      <right style="thin">
        <color rgb="FF718DB7"/>
      </right>
      <top style="thin">
        <color rgb="FF718DB7"/>
      </top>
      <bottom/>
      <diagonal/>
    </border>
    <border>
      <left/>
      <right/>
      <top/>
      <bottom style="thin">
        <color rgb="FF666699"/>
      </bottom>
      <diagonal/>
    </border>
    <border>
      <left style="thin">
        <color rgb="FF718DB7"/>
      </left>
      <right style="thin">
        <color rgb="FFDDEBF7"/>
      </right>
      <top style="thin">
        <color indexed="54"/>
      </top>
      <bottom/>
      <diagonal/>
    </border>
    <border>
      <left style="thin">
        <color rgb="FFDDEBF7"/>
      </left>
      <right style="thin">
        <color rgb="FFDDEBF7"/>
      </right>
      <top style="thin">
        <color indexed="54"/>
      </top>
      <bottom/>
      <diagonal/>
    </border>
    <border>
      <left style="thin">
        <color rgb="FFDDEBF7"/>
      </left>
      <right style="thin">
        <color rgb="FF718DB7"/>
      </right>
      <top style="thin">
        <color indexed="54"/>
      </top>
      <bottom/>
      <diagonal/>
    </border>
    <border>
      <left style="thin">
        <color rgb="FF718DB7"/>
      </left>
      <right style="thin">
        <color rgb="FFABBCD5"/>
      </right>
      <top style="thin">
        <color rgb="FF7C808A"/>
      </top>
      <bottom style="thin">
        <color rgb="FFC9C9C9"/>
      </bottom>
      <diagonal/>
    </border>
    <border>
      <left style="thin">
        <color rgb="FFABBCD5"/>
      </left>
      <right style="thin">
        <color rgb="FFABBCD5"/>
      </right>
      <top style="thin">
        <color rgb="FF7C808A"/>
      </top>
      <bottom style="thin">
        <color rgb="FFC9C9C9"/>
      </bottom>
      <diagonal/>
    </border>
    <border>
      <left style="thin">
        <color rgb="FFABBCD5"/>
      </left>
      <right style="thin">
        <color rgb="FFC9C9C9"/>
      </right>
      <top style="thin">
        <color rgb="FF7C808A"/>
      </top>
      <bottom style="thin">
        <color rgb="FFC9C9C9"/>
      </bottom>
      <diagonal/>
    </border>
    <border>
      <left/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7C808A"/>
      </top>
      <bottom style="thin">
        <color rgb="FFD6DDEE"/>
      </bottom>
      <diagonal/>
    </border>
    <border>
      <left/>
      <right style="thin">
        <color rgb="FF718DB7"/>
      </right>
      <top style="thin">
        <color rgb="FF7C808A"/>
      </top>
      <bottom style="thin">
        <color rgb="FFD6DDEE"/>
      </bottom>
      <diagonal/>
    </border>
    <border>
      <left style="thin">
        <color rgb="FF718DB7"/>
      </left>
      <right style="thin">
        <color rgb="FFD6DDEE"/>
      </right>
      <top/>
      <bottom style="thin">
        <color rgb="FFD6DDEE"/>
      </bottom>
      <diagonal/>
    </border>
    <border>
      <left style="thin">
        <color rgb="FFD6DDEE"/>
      </left>
      <right style="thin">
        <color rgb="FFD6DDEE"/>
      </right>
      <top/>
      <bottom style="thin">
        <color rgb="FFD6DDEE"/>
      </bottom>
      <diagonal/>
    </border>
    <border>
      <left style="thin">
        <color rgb="FFD6DDEE"/>
      </left>
      <right style="thin">
        <color rgb="FF718DB7"/>
      </right>
      <top/>
      <bottom style="thin">
        <color rgb="FFD6DDEE"/>
      </bottom>
      <diagonal/>
    </border>
    <border>
      <left style="thin">
        <color rgb="FF718DB7"/>
      </left>
      <right style="thin">
        <color rgb="FFD6DDEE"/>
      </right>
      <top style="thin">
        <color rgb="FFD6DDEE"/>
      </top>
      <bottom style="thin">
        <color rgb="FFD6DDEE"/>
      </bottom>
      <diagonal/>
    </border>
    <border>
      <left style="thin">
        <color rgb="FFD6DDEE"/>
      </left>
      <right style="thin">
        <color rgb="FFD6DDEE"/>
      </right>
      <top style="thin">
        <color rgb="FFD6DDEE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D6DDEE"/>
      </top>
      <bottom style="thin">
        <color rgb="FFD6DDEE"/>
      </bottom>
      <diagonal/>
    </border>
    <border>
      <left style="thin">
        <color rgb="FF718DB7"/>
      </left>
      <right style="thin">
        <color rgb="FFD6DDEE"/>
      </right>
      <top style="thin">
        <color rgb="FFD6DDEE"/>
      </top>
      <bottom/>
      <diagonal/>
    </border>
    <border>
      <left style="thin">
        <color rgb="FFD6DDEE"/>
      </left>
      <right style="thin">
        <color rgb="FFD6DDEE"/>
      </right>
      <top style="thin">
        <color rgb="FFD6DDEE"/>
      </top>
      <bottom/>
      <diagonal/>
    </border>
    <border>
      <left style="thin">
        <color rgb="FFD6DDEE"/>
      </left>
      <right style="thin">
        <color rgb="FF718DB7"/>
      </right>
      <top style="thin">
        <color rgb="FFD6DDEE"/>
      </top>
      <bottom/>
      <diagonal/>
    </border>
    <border>
      <left style="thin">
        <color rgb="FF718DB7"/>
      </left>
      <right style="thin">
        <color rgb="FFD6DDEE"/>
      </right>
      <top style="thin">
        <color rgb="FFD6DDEE"/>
      </top>
      <bottom style="thin">
        <color rgb="FF718DB7"/>
      </bottom>
      <diagonal/>
    </border>
    <border>
      <left style="thin">
        <color rgb="FFD6DDEE"/>
      </left>
      <right style="thin">
        <color rgb="FFD6DDEE"/>
      </right>
      <top style="thin">
        <color rgb="FFD6DDEE"/>
      </top>
      <bottom style="thin">
        <color rgb="FF718DB7"/>
      </bottom>
      <diagonal/>
    </border>
    <border>
      <left style="thin">
        <color rgb="FFD6DDEE"/>
      </left>
      <right/>
      <top style="thin">
        <color rgb="FFD6DDEE"/>
      </top>
      <bottom style="thin">
        <color rgb="FF718DB7"/>
      </bottom>
      <diagonal/>
    </border>
    <border>
      <left style="thin">
        <color rgb="FFBFBFBF"/>
      </left>
      <right style="thin">
        <color rgb="FF718DB7"/>
      </right>
      <top style="thin">
        <color rgb="FFBFBFBF"/>
      </top>
      <bottom style="thin">
        <color rgb="FF718DB7"/>
      </bottom>
      <diagonal/>
    </border>
    <border>
      <left style="thin">
        <color rgb="FFBFBFBF"/>
      </left>
      <right/>
      <top style="thin">
        <color rgb="FFBFBFBF"/>
      </top>
      <bottom style="thin">
        <color rgb="FF718DB7"/>
      </bottom>
      <diagonal/>
    </border>
    <border>
      <left/>
      <right/>
      <top style="thin">
        <color rgb="FFBFBFBF"/>
      </top>
      <bottom style="thin">
        <color rgb="FF718DB7"/>
      </bottom>
      <diagonal/>
    </border>
    <border>
      <left/>
      <right style="thin">
        <color rgb="FF718DB7"/>
      </right>
      <top style="thin">
        <color rgb="FFBFBFBF"/>
      </top>
      <bottom style="thin">
        <color rgb="FF718DB7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718DB7"/>
      </left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D6DDEE"/>
      </top>
      <bottom style="thin">
        <color rgb="FF718DB7"/>
      </bottom>
      <diagonal/>
    </border>
    <border>
      <left style="thin">
        <color rgb="FF718DB7"/>
      </left>
      <right/>
      <top style="thin">
        <color rgb="FFD6DDEE"/>
      </top>
      <bottom style="thin">
        <color rgb="FF718DB7"/>
      </bottom>
      <diagonal/>
    </border>
    <border>
      <left style="thin">
        <color rgb="FF718DB7"/>
      </left>
      <right style="thin">
        <color rgb="FFC9C9C9"/>
      </right>
      <top style="thin">
        <color rgb="FF7C808A"/>
      </top>
      <bottom style="thin">
        <color rgb="FFC9C9C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4"/>
      </right>
      <top/>
      <bottom/>
      <diagonal/>
    </border>
    <border>
      <left/>
      <right/>
      <top/>
      <bottom style="thin">
        <color theme="5" tint="0.79998168889431442"/>
      </bottom>
      <diagonal/>
    </border>
    <border>
      <left/>
      <right style="thin">
        <color theme="4"/>
      </right>
      <top/>
      <bottom style="thin">
        <color theme="5" tint="0.79998168889431442"/>
      </bottom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/>
      <right style="thin">
        <color theme="4"/>
      </right>
      <top style="thin">
        <color theme="5" tint="0.79998168889431442"/>
      </top>
      <bottom style="thin">
        <color theme="5" tint="0.79998168889431442"/>
      </bottom>
      <diagonal/>
    </border>
    <border>
      <left/>
      <right/>
      <top/>
      <bottom style="double">
        <color theme="5"/>
      </bottom>
      <diagonal/>
    </border>
    <border>
      <left/>
      <right style="thin">
        <color theme="4"/>
      </right>
      <top/>
      <bottom style="double">
        <color theme="5"/>
      </bottom>
      <diagonal/>
    </border>
    <border>
      <left/>
      <right style="thin">
        <color theme="4"/>
      </right>
      <top style="thin">
        <color theme="7" tint="0.79998168889431442"/>
      </top>
      <bottom style="thin">
        <color theme="7" tint="0.79998168889431442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7" fillId="0" borderId="0"/>
    <xf numFmtId="0" fontId="27" fillId="0" borderId="0"/>
    <xf numFmtId="49" fontId="34" fillId="6" borderId="0" applyBorder="0" applyProtection="0">
      <alignment horizontal="left" vertical="top" wrapText="1"/>
    </xf>
  </cellStyleXfs>
  <cellXfs count="474">
    <xf numFmtId="0" fontId="0" fillId="0" borderId="0" xfId="0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0" borderId="0" xfId="0" applyFont="1"/>
    <xf numFmtId="1" fontId="3" fillId="0" borderId="0" xfId="0" applyNumberFormat="1" applyFont="1"/>
    <xf numFmtId="14" fontId="3" fillId="0" borderId="0" xfId="0" applyNumberFormat="1" applyFont="1"/>
    <xf numFmtId="44" fontId="2" fillId="0" borderId="1" xfId="1" applyFont="1" applyFill="1" applyBorder="1" applyAlignment="1">
      <alignment vertical="center"/>
    </xf>
    <xf numFmtId="44" fontId="2" fillId="0" borderId="0" xfId="1" applyFont="1" applyAlignment="1">
      <alignment vertical="center" wrapText="1"/>
    </xf>
    <xf numFmtId="0" fontId="9" fillId="0" borderId="0" xfId="0" applyFont="1"/>
    <xf numFmtId="0" fontId="2" fillId="0" borderId="0" xfId="0" applyFont="1" applyAlignment="1">
      <alignment horizontal="center" vertical="center" wrapText="1"/>
    </xf>
    <xf numFmtId="44" fontId="2" fillId="0" borderId="0" xfId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164" fontId="0" fillId="0" borderId="0" xfId="0" applyNumberFormat="1" applyAlignment="1">
      <alignment horizontal="center"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/>
    <xf numFmtId="165" fontId="10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/>
    <xf numFmtId="0" fontId="10" fillId="0" borderId="1" xfId="0" applyFont="1" applyBorder="1" applyAlignment="1">
      <alignment vertical="center"/>
    </xf>
    <xf numFmtId="44" fontId="10" fillId="0" borderId="1" xfId="0" applyNumberFormat="1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8" fillId="0" borderId="8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4" fontId="12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44" fontId="3" fillId="0" borderId="0" xfId="1" applyFont="1"/>
    <xf numFmtId="44" fontId="0" fillId="0" borderId="0" xfId="1" applyFont="1" applyAlignment="1">
      <alignment horizontal="center"/>
    </xf>
    <xf numFmtId="44" fontId="11" fillId="0" borderId="1" xfId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44" fontId="2" fillId="0" borderId="1" xfId="1" applyFont="1" applyFill="1" applyBorder="1" applyAlignment="1">
      <alignment horizontal="center" vertical="center"/>
    </xf>
    <xf numFmtId="44" fontId="10" fillId="0" borderId="1" xfId="0" applyNumberFormat="1" applyFont="1" applyBorder="1" applyAlignment="1">
      <alignment horizontal="center" vertical="center"/>
    </xf>
    <xf numFmtId="44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4" fillId="0" borderId="0" xfId="0" quotePrefix="1" applyFont="1"/>
    <xf numFmtId="0" fontId="25" fillId="0" borderId="0" xfId="2" applyFont="1" applyAlignment="1">
      <alignment horizontal="right"/>
    </xf>
    <xf numFmtId="0" fontId="25" fillId="0" borderId="0" xfId="0" quotePrefix="1" applyFont="1"/>
    <xf numFmtId="166" fontId="28" fillId="4" borderId="12" xfId="3" applyNumberFormat="1" applyFont="1" applyFill="1" applyBorder="1" applyAlignment="1">
      <alignment horizontal="centerContinuous" vertical="center"/>
    </xf>
    <xf numFmtId="0" fontId="29" fillId="4" borderId="13" xfId="3" applyFont="1" applyFill="1" applyBorder="1" applyAlignment="1">
      <alignment horizontal="centerContinuous"/>
    </xf>
    <xf numFmtId="0" fontId="29" fillId="4" borderId="14" xfId="3" applyFont="1" applyFill="1" applyBorder="1" applyAlignment="1">
      <alignment horizontal="centerContinuous"/>
    </xf>
    <xf numFmtId="166" fontId="28" fillId="4" borderId="12" xfId="4" applyNumberFormat="1" applyFont="1" applyFill="1" applyBorder="1" applyAlignment="1">
      <alignment horizontal="centerContinuous" vertical="center"/>
    </xf>
    <xf numFmtId="0" fontId="29" fillId="4" borderId="13" xfId="4" applyFont="1" applyFill="1" applyBorder="1" applyAlignment="1">
      <alignment horizontal="centerContinuous"/>
    </xf>
    <xf numFmtId="0" fontId="29" fillId="4" borderId="14" xfId="4" applyFont="1" applyFill="1" applyBorder="1" applyAlignment="1">
      <alignment horizontal="centerContinuous"/>
    </xf>
    <xf numFmtId="167" fontId="30" fillId="4" borderId="15" xfId="0" applyNumberFormat="1" applyFont="1" applyFill="1" applyBorder="1" applyAlignment="1">
      <alignment horizontal="left"/>
    </xf>
    <xf numFmtId="0" fontId="31" fillId="4" borderId="15" xfId="0" applyFont="1" applyFill="1" applyBorder="1" applyAlignment="1">
      <alignment shrinkToFit="1"/>
    </xf>
    <xf numFmtId="168" fontId="32" fillId="5" borderId="16" xfId="3" quotePrefix="1" applyNumberFormat="1" applyFont="1" applyFill="1" applyBorder="1" applyAlignment="1">
      <alignment horizontal="center" shrinkToFit="1"/>
    </xf>
    <xf numFmtId="168" fontId="33" fillId="5" borderId="17" xfId="3" quotePrefix="1" applyNumberFormat="1" applyFont="1" applyFill="1" applyBorder="1" applyAlignment="1">
      <alignment horizontal="center" shrinkToFit="1"/>
    </xf>
    <xf numFmtId="168" fontId="32" fillId="5" borderId="18" xfId="3" quotePrefix="1" applyNumberFormat="1" applyFont="1" applyFill="1" applyBorder="1" applyAlignment="1">
      <alignment horizontal="center" shrinkToFit="1"/>
    </xf>
    <xf numFmtId="168" fontId="32" fillId="5" borderId="16" xfId="4" quotePrefix="1" applyNumberFormat="1" applyFont="1" applyFill="1" applyBorder="1" applyAlignment="1">
      <alignment horizontal="center" shrinkToFit="1"/>
    </xf>
    <xf numFmtId="168" fontId="33" fillId="5" borderId="17" xfId="4" quotePrefix="1" applyNumberFormat="1" applyFont="1" applyFill="1" applyBorder="1" applyAlignment="1">
      <alignment horizontal="center" shrinkToFit="1"/>
    </xf>
    <xf numFmtId="168" fontId="32" fillId="5" borderId="18" xfId="4" quotePrefix="1" applyNumberFormat="1" applyFont="1" applyFill="1" applyBorder="1" applyAlignment="1">
      <alignment horizontal="center" shrinkToFit="1"/>
    </xf>
    <xf numFmtId="167" fontId="0" fillId="0" borderId="0" xfId="0" applyNumberFormat="1" applyAlignment="1">
      <alignment horizontal="left"/>
    </xf>
    <xf numFmtId="49" fontId="35" fillId="6" borderId="19" xfId="5" applyFont="1" applyBorder="1" applyAlignment="1">
      <alignment horizontal="left" vertical="center" wrapText="1"/>
    </xf>
    <xf numFmtId="49" fontId="35" fillId="6" borderId="20" xfId="5" applyFont="1" applyBorder="1" applyAlignment="1">
      <alignment horizontal="left" vertical="center" wrapText="1"/>
    </xf>
    <xf numFmtId="49" fontId="35" fillId="6" borderId="21" xfId="5" applyFont="1" applyBorder="1" applyAlignment="1">
      <alignment horizontal="left" vertical="center" wrapText="1"/>
    </xf>
    <xf numFmtId="169" fontId="36" fillId="7" borderId="22" xfId="3" applyNumberFormat="1" applyFont="1" applyFill="1" applyBorder="1" applyAlignment="1">
      <alignment horizontal="center" vertical="center" shrinkToFit="1"/>
    </xf>
    <xf numFmtId="169" fontId="37" fillId="8" borderId="23" xfId="3" applyNumberFormat="1" applyFont="1" applyFill="1" applyBorder="1" applyAlignment="1">
      <alignment horizontal="center" vertical="center" shrinkToFit="1"/>
    </xf>
    <xf numFmtId="169" fontId="37" fillId="9" borderId="24" xfId="3" applyNumberFormat="1" applyFont="1" applyFill="1" applyBorder="1" applyAlignment="1">
      <alignment horizontal="center" vertical="center" shrinkToFit="1"/>
    </xf>
    <xf numFmtId="169" fontId="37" fillId="9" borderId="25" xfId="4" applyNumberFormat="1" applyFont="1" applyFill="1" applyBorder="1" applyAlignment="1">
      <alignment horizontal="center" vertical="center" shrinkToFit="1"/>
    </xf>
    <xf numFmtId="169" fontId="37" fillId="9" borderId="26" xfId="3" applyNumberFormat="1" applyFont="1" applyFill="1" applyBorder="1" applyAlignment="1">
      <alignment horizontal="center" vertical="center" shrinkToFit="1"/>
    </xf>
    <xf numFmtId="169" fontId="37" fillId="8" borderId="27" xfId="3" applyNumberFormat="1" applyFont="1" applyFill="1" applyBorder="1" applyAlignment="1">
      <alignment horizontal="center" vertical="center" shrinkToFit="1"/>
    </xf>
    <xf numFmtId="169" fontId="37" fillId="9" borderId="28" xfId="3" applyNumberFormat="1" applyFont="1" applyFill="1" applyBorder="1" applyAlignment="1">
      <alignment horizontal="center" vertical="center" shrinkToFit="1"/>
    </xf>
    <xf numFmtId="169" fontId="37" fillId="9" borderId="26" xfId="4" applyNumberFormat="1" applyFont="1" applyFill="1" applyBorder="1" applyAlignment="1">
      <alignment horizontal="center" vertical="center" shrinkToFit="1"/>
    </xf>
    <xf numFmtId="169" fontId="37" fillId="8" borderId="27" xfId="4" applyNumberFormat="1" applyFont="1" applyFill="1" applyBorder="1" applyAlignment="1">
      <alignment horizontal="center" vertical="center" shrinkToFit="1"/>
    </xf>
    <xf numFmtId="169" fontId="37" fillId="9" borderId="28" xfId="4" applyNumberFormat="1" applyFont="1" applyFill="1" applyBorder="1" applyAlignment="1">
      <alignment horizontal="center" vertical="center" shrinkToFit="1"/>
    </xf>
    <xf numFmtId="169" fontId="37" fillId="9" borderId="29" xfId="3" applyNumberFormat="1" applyFont="1" applyFill="1" applyBorder="1" applyAlignment="1">
      <alignment horizontal="center" vertical="center" shrinkToFit="1"/>
    </xf>
    <xf numFmtId="169" fontId="37" fillId="8" borderId="30" xfId="3" applyNumberFormat="1" applyFont="1" applyFill="1" applyBorder="1" applyAlignment="1">
      <alignment horizontal="center" vertical="center" shrinkToFit="1"/>
    </xf>
    <xf numFmtId="169" fontId="37" fillId="9" borderId="31" xfId="3" applyNumberFormat="1" applyFont="1" applyFill="1" applyBorder="1" applyAlignment="1">
      <alignment horizontal="center" vertical="center" shrinkToFit="1"/>
    </xf>
    <xf numFmtId="169" fontId="37" fillId="9" borderId="29" xfId="4" applyNumberFormat="1" applyFont="1" applyFill="1" applyBorder="1" applyAlignment="1">
      <alignment horizontal="center" vertical="center" shrinkToFit="1"/>
    </xf>
    <xf numFmtId="169" fontId="37" fillId="8" borderId="30" xfId="4" applyNumberFormat="1" applyFont="1" applyFill="1" applyBorder="1" applyAlignment="1">
      <alignment horizontal="center" vertical="center" shrinkToFit="1"/>
    </xf>
    <xf numFmtId="169" fontId="37" fillId="9" borderId="31" xfId="4" applyNumberFormat="1" applyFont="1" applyFill="1" applyBorder="1" applyAlignment="1">
      <alignment horizontal="center" vertical="center" shrinkToFit="1"/>
    </xf>
    <xf numFmtId="169" fontId="37" fillId="9" borderId="32" xfId="3" applyNumberFormat="1" applyFont="1" applyFill="1" applyBorder="1" applyAlignment="1">
      <alignment horizontal="center" vertical="center" shrinkToFit="1"/>
    </xf>
    <xf numFmtId="169" fontId="37" fillId="8" borderId="33" xfId="3" applyNumberFormat="1" applyFont="1" applyFill="1" applyBorder="1" applyAlignment="1">
      <alignment horizontal="center" vertical="center" shrinkToFit="1"/>
    </xf>
    <xf numFmtId="169" fontId="37" fillId="9" borderId="34" xfId="3" applyNumberFormat="1" applyFont="1" applyFill="1" applyBorder="1" applyAlignment="1">
      <alignment horizontal="center" vertical="center" shrinkToFit="1"/>
    </xf>
    <xf numFmtId="169" fontId="37" fillId="9" borderId="32" xfId="4" applyNumberFormat="1" applyFont="1" applyFill="1" applyBorder="1" applyAlignment="1">
      <alignment horizontal="center" vertical="center" shrinkToFit="1"/>
    </xf>
    <xf numFmtId="169" fontId="37" fillId="8" borderId="33" xfId="4" applyNumberFormat="1" applyFont="1" applyFill="1" applyBorder="1" applyAlignment="1">
      <alignment horizontal="center" vertical="center" shrinkToFit="1"/>
    </xf>
    <xf numFmtId="169" fontId="37" fillId="9" borderId="34" xfId="4" applyNumberFormat="1" applyFont="1" applyFill="1" applyBorder="1" applyAlignment="1">
      <alignment horizontal="center" vertical="center" shrinkToFit="1"/>
    </xf>
    <xf numFmtId="169" fontId="37" fillId="9" borderId="35" xfId="3" applyNumberFormat="1" applyFont="1" applyFill="1" applyBorder="1" applyAlignment="1">
      <alignment horizontal="center" vertical="center" shrinkToFit="1"/>
    </xf>
    <xf numFmtId="169" fontId="37" fillId="8" borderId="36" xfId="3" applyNumberFormat="1" applyFont="1" applyFill="1" applyBorder="1" applyAlignment="1">
      <alignment horizontal="center" vertical="center" shrinkToFit="1"/>
    </xf>
    <xf numFmtId="169" fontId="37" fillId="8" borderId="37" xfId="3" applyNumberFormat="1" applyFont="1" applyFill="1" applyBorder="1" applyAlignment="1">
      <alignment horizontal="center" vertical="center" shrinkToFit="1"/>
    </xf>
    <xf numFmtId="49" fontId="35" fillId="6" borderId="38" xfId="5" applyFont="1" applyBorder="1" applyAlignment="1">
      <alignment horizontal="left" vertical="center" wrapText="1"/>
    </xf>
    <xf numFmtId="169" fontId="37" fillId="9" borderId="35" xfId="4" applyNumberFormat="1" applyFont="1" applyFill="1" applyBorder="1" applyAlignment="1">
      <alignment horizontal="center" vertical="center" shrinkToFit="1"/>
    </xf>
    <xf numFmtId="169" fontId="37" fillId="8" borderId="36" xfId="4" applyNumberFormat="1" applyFont="1" applyFill="1" applyBorder="1" applyAlignment="1">
      <alignment horizontal="center" vertical="center" shrinkToFit="1"/>
    </xf>
    <xf numFmtId="169" fontId="37" fillId="8" borderId="37" xfId="4" applyNumberFormat="1" applyFont="1" applyFill="1" applyBorder="1" applyAlignment="1">
      <alignment horizontal="center" vertical="center" shrinkToFit="1"/>
    </xf>
    <xf numFmtId="0" fontId="27" fillId="0" borderId="0" xfId="3"/>
    <xf numFmtId="0" fontId="27" fillId="0" borderId="0" xfId="4"/>
    <xf numFmtId="169" fontId="37" fillId="8" borderId="22" xfId="4" applyNumberFormat="1" applyFont="1" applyFill="1" applyBorder="1" applyAlignment="1">
      <alignment horizontal="center" vertical="center" shrinkToFit="1"/>
    </xf>
    <xf numFmtId="169" fontId="37" fillId="8" borderId="23" xfId="4" applyNumberFormat="1" applyFont="1" applyFill="1" applyBorder="1" applyAlignment="1">
      <alignment horizontal="center" vertical="center" shrinkToFit="1"/>
    </xf>
    <xf numFmtId="169" fontId="37" fillId="9" borderId="24" xfId="4" applyNumberFormat="1" applyFont="1" applyFill="1" applyBorder="1" applyAlignment="1">
      <alignment horizontal="center" vertical="center" shrinkToFit="1"/>
    </xf>
    <xf numFmtId="169" fontId="36" fillId="7" borderId="27" xfId="4" applyNumberFormat="1" applyFont="1" applyFill="1" applyBorder="1" applyAlignment="1">
      <alignment horizontal="center" vertical="center" shrinkToFit="1"/>
    </xf>
    <xf numFmtId="169" fontId="36" fillId="7" borderId="30" xfId="4" applyNumberFormat="1" applyFont="1" applyFill="1" applyBorder="1" applyAlignment="1">
      <alignment horizontal="center" vertical="center" shrinkToFit="1"/>
    </xf>
    <xf numFmtId="169" fontId="36" fillId="7" borderId="33" xfId="4" applyNumberFormat="1" applyFont="1" applyFill="1" applyBorder="1" applyAlignment="1">
      <alignment horizontal="center" vertical="center" shrinkToFit="1"/>
    </xf>
    <xf numFmtId="49" fontId="35" fillId="6" borderId="39" xfId="5" applyFont="1" applyBorder="1" applyAlignment="1">
      <alignment horizontal="left" vertical="center" wrapText="1"/>
    </xf>
    <xf numFmtId="49" fontId="35" fillId="6" borderId="40" xfId="5" applyFont="1" applyBorder="1" applyAlignment="1">
      <alignment horizontal="left" vertical="center" wrapText="1"/>
    </xf>
    <xf numFmtId="49" fontId="35" fillId="6" borderId="41" xfId="5" applyFont="1" applyBorder="1" applyAlignment="1">
      <alignment horizontal="left" vertical="center" wrapText="1"/>
    </xf>
    <xf numFmtId="0" fontId="0" fillId="0" borderId="42" xfId="0" applyBorder="1" applyAlignment="1">
      <alignment horizontal="left"/>
    </xf>
    <xf numFmtId="0" fontId="38" fillId="0" borderId="42" xfId="0" applyFont="1" applyBorder="1" applyAlignment="1">
      <alignment shrinkToFit="1"/>
    </xf>
    <xf numFmtId="169" fontId="36" fillId="7" borderId="22" xfId="4" applyNumberFormat="1" applyFont="1" applyFill="1" applyBorder="1" applyAlignment="1">
      <alignment horizontal="center" vertical="center" shrinkToFit="1"/>
    </xf>
    <xf numFmtId="169" fontId="37" fillId="9" borderId="43" xfId="4" applyNumberFormat="1" applyFont="1" applyFill="1" applyBorder="1" applyAlignment="1">
      <alignment horizontal="center" vertical="center" shrinkToFit="1"/>
    </xf>
    <xf numFmtId="169" fontId="37" fillId="9" borderId="44" xfId="4" applyNumberFormat="1" applyFont="1" applyFill="1" applyBorder="1" applyAlignment="1">
      <alignment horizontal="center" vertical="center" shrinkToFit="1"/>
    </xf>
    <xf numFmtId="169" fontId="37" fillId="9" borderId="45" xfId="4" applyNumberFormat="1" applyFont="1" applyFill="1" applyBorder="1" applyAlignment="1">
      <alignment horizontal="center" vertical="center" shrinkToFit="1"/>
    </xf>
    <xf numFmtId="49" fontId="35" fillId="6" borderId="46" xfId="5" applyFont="1" applyBorder="1" applyAlignment="1">
      <alignment horizontal="left" vertical="center" wrapText="1"/>
    </xf>
    <xf numFmtId="169" fontId="36" fillId="7" borderId="26" xfId="4" applyNumberFormat="1" applyFont="1" applyFill="1" applyBorder="1" applyAlignment="1">
      <alignment horizontal="center" vertical="center" shrinkToFit="1"/>
    </xf>
    <xf numFmtId="169" fontId="36" fillId="7" borderId="29" xfId="4" applyNumberFormat="1" applyFont="1" applyFill="1" applyBorder="1" applyAlignment="1">
      <alignment horizontal="center" vertical="center" shrinkToFit="1"/>
    </xf>
    <xf numFmtId="0" fontId="0" fillId="0" borderId="42" xfId="0" applyBorder="1"/>
    <xf numFmtId="169" fontId="36" fillId="7" borderId="31" xfId="4" applyNumberFormat="1" applyFont="1" applyFill="1" applyBorder="1" applyAlignment="1">
      <alignment horizontal="center" vertical="center" shrinkToFit="1"/>
    </xf>
    <xf numFmtId="0" fontId="39" fillId="0" borderId="0" xfId="4" applyFont="1"/>
    <xf numFmtId="0" fontId="40" fillId="0" borderId="0" xfId="2" applyFont="1" applyAlignment="1">
      <alignment horizontal="right"/>
    </xf>
    <xf numFmtId="170" fontId="5" fillId="0" borderId="0" xfId="0" applyNumberFormat="1" applyFont="1" applyAlignment="1">
      <alignment horizontal="center" vertical="center" wrapText="1"/>
    </xf>
    <xf numFmtId="170" fontId="6" fillId="0" borderId="1" xfId="0" applyNumberFormat="1" applyFont="1" applyBorder="1" applyAlignment="1">
      <alignment horizontal="center" vertical="center"/>
    </xf>
    <xf numFmtId="170" fontId="10" fillId="0" borderId="1" xfId="0" applyNumberFormat="1" applyFont="1" applyBorder="1" applyAlignment="1">
      <alignment horizontal="center" vertical="center"/>
    </xf>
    <xf numFmtId="170" fontId="3" fillId="0" borderId="0" xfId="0" applyNumberFormat="1" applyFont="1"/>
    <xf numFmtId="170" fontId="0" fillId="0" borderId="0" xfId="0" applyNumberFormat="1" applyAlignment="1">
      <alignment horizontal="center"/>
    </xf>
    <xf numFmtId="164" fontId="6" fillId="10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vertical="center" wrapText="1"/>
    </xf>
    <xf numFmtId="0" fontId="2" fillId="11" borderId="0" xfId="0" applyFont="1" applyFill="1" applyAlignment="1">
      <alignment vertical="center" wrapText="1"/>
    </xf>
    <xf numFmtId="0" fontId="0" fillId="0" borderId="1" xfId="0" applyBorder="1" applyAlignment="1">
      <alignment horizontal="center"/>
    </xf>
    <xf numFmtId="169" fontId="37" fillId="8" borderId="1" xfId="4" applyNumberFormat="1" applyFont="1" applyFill="1" applyBorder="1" applyAlignment="1">
      <alignment horizontal="center" vertical="center" shrinkToFit="1"/>
    </xf>
    <xf numFmtId="20" fontId="0" fillId="0" borderId="1" xfId="0" applyNumberFormat="1" applyBorder="1" applyAlignment="1">
      <alignment horizontal="center"/>
    </xf>
    <xf numFmtId="44" fontId="1" fillId="0" borderId="1" xfId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 wrapText="1"/>
    </xf>
    <xf numFmtId="44" fontId="1" fillId="0" borderId="0" xfId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/>
    </xf>
    <xf numFmtId="44" fontId="1" fillId="0" borderId="0" xfId="1" applyFont="1" applyBorder="1"/>
    <xf numFmtId="44" fontId="0" fillId="0" borderId="1" xfId="0" applyNumberFormat="1" applyBorder="1"/>
    <xf numFmtId="44" fontId="2" fillId="0" borderId="0" xfId="0" applyNumberFormat="1" applyFont="1"/>
    <xf numFmtId="0" fontId="2" fillId="0" borderId="0" xfId="0" applyFont="1"/>
    <xf numFmtId="0" fontId="2" fillId="0" borderId="47" xfId="0" applyFont="1" applyBorder="1"/>
    <xf numFmtId="0" fontId="2" fillId="0" borderId="48" xfId="0" applyFont="1" applyBorder="1" applyAlignment="1">
      <alignment horizontal="center"/>
    </xf>
    <xf numFmtId="44" fontId="2" fillId="0" borderId="49" xfId="0" applyNumberFormat="1" applyFont="1" applyBorder="1"/>
    <xf numFmtId="0" fontId="2" fillId="11" borderId="3" xfId="0" applyFont="1" applyFill="1" applyBorder="1" applyAlignment="1">
      <alignment vertical="center" wrapText="1"/>
    </xf>
    <xf numFmtId="44" fontId="0" fillId="0" borderId="3" xfId="0" applyNumberFormat="1" applyBorder="1"/>
    <xf numFmtId="0" fontId="2" fillId="11" borderId="50" xfId="0" applyFont="1" applyFill="1" applyBorder="1" applyAlignment="1">
      <alignment vertical="center" wrapText="1"/>
    </xf>
    <xf numFmtId="0" fontId="2" fillId="11" borderId="51" xfId="0" applyFont="1" applyFill="1" applyBorder="1" applyAlignment="1">
      <alignment vertical="center" wrapText="1"/>
    </xf>
    <xf numFmtId="0" fontId="2" fillId="11" borderId="52" xfId="0" applyFont="1" applyFill="1" applyBorder="1" applyAlignment="1">
      <alignment horizontal="center" vertical="center" wrapText="1"/>
    </xf>
    <xf numFmtId="0" fontId="0" fillId="0" borderId="53" xfId="0" applyBorder="1"/>
    <xf numFmtId="20" fontId="0" fillId="0" borderId="54" xfId="0" applyNumberFormat="1" applyBorder="1" applyAlignment="1">
      <alignment horizontal="center"/>
    </xf>
    <xf numFmtId="44" fontId="0" fillId="0" borderId="55" xfId="1" applyFont="1" applyBorder="1"/>
    <xf numFmtId="0" fontId="0" fillId="0" borderId="56" xfId="0" applyBorder="1"/>
    <xf numFmtId="44" fontId="0" fillId="0" borderId="57" xfId="1" applyFont="1" applyBorder="1"/>
    <xf numFmtId="0" fontId="0" fillId="0" borderId="58" xfId="0" applyBorder="1"/>
    <xf numFmtId="20" fontId="0" fillId="0" borderId="59" xfId="0" applyNumberFormat="1" applyBorder="1" applyAlignment="1">
      <alignment horizontal="center"/>
    </xf>
    <xf numFmtId="44" fontId="0" fillId="0" borderId="60" xfId="1" applyFont="1" applyBorder="1"/>
    <xf numFmtId="0" fontId="2" fillId="11" borderId="2" xfId="0" applyFont="1" applyFill="1" applyBorder="1" applyAlignment="1">
      <alignment horizontal="center" vertical="center" wrapText="1"/>
    </xf>
    <xf numFmtId="0" fontId="2" fillId="11" borderId="53" xfId="0" applyFont="1" applyFill="1" applyBorder="1" applyAlignment="1">
      <alignment vertical="center" wrapText="1"/>
    </xf>
    <xf numFmtId="44" fontId="1" fillId="0" borderId="54" xfId="1" applyFont="1" applyFill="1" applyBorder="1" applyAlignment="1">
      <alignment horizontal="center" vertical="center"/>
    </xf>
    <xf numFmtId="44" fontId="1" fillId="0" borderId="55" xfId="1" applyFont="1" applyBorder="1"/>
    <xf numFmtId="0" fontId="2" fillId="11" borderId="56" xfId="0" applyFont="1" applyFill="1" applyBorder="1" applyAlignment="1">
      <alignment vertical="center" wrapText="1"/>
    </xf>
    <xf numFmtId="44" fontId="1" fillId="0" borderId="57" xfId="1" applyFont="1" applyBorder="1"/>
    <xf numFmtId="0" fontId="2" fillId="11" borderId="58" xfId="0" applyFont="1" applyFill="1" applyBorder="1" applyAlignment="1">
      <alignment vertical="center" wrapText="1"/>
    </xf>
    <xf numFmtId="44" fontId="1" fillId="0" borderId="59" xfId="1" applyFont="1" applyFill="1" applyBorder="1" applyAlignment="1">
      <alignment horizontal="center" vertical="center"/>
    </xf>
    <xf numFmtId="44" fontId="1" fillId="0" borderId="60" xfId="1" applyFont="1" applyBorder="1"/>
    <xf numFmtId="164" fontId="6" fillId="12" borderId="1" xfId="0" applyNumberFormat="1" applyFont="1" applyFill="1" applyBorder="1" applyAlignment="1">
      <alignment horizontal="center" vertical="center"/>
    </xf>
    <xf numFmtId="164" fontId="6" fillId="11" borderId="1" xfId="0" applyNumberFormat="1" applyFont="1" applyFill="1" applyBorder="1" applyAlignment="1">
      <alignment horizontal="center" vertical="center"/>
    </xf>
    <xf numFmtId="1" fontId="6" fillId="11" borderId="1" xfId="0" applyNumberFormat="1" applyFont="1" applyFill="1" applyBorder="1" applyAlignment="1">
      <alignment horizontal="center" vertical="center" wrapText="1"/>
    </xf>
    <xf numFmtId="170" fontId="6" fillId="11" borderId="1" xfId="0" applyNumberFormat="1" applyFont="1" applyFill="1" applyBorder="1" applyAlignment="1">
      <alignment horizontal="center" vertical="center"/>
    </xf>
    <xf numFmtId="165" fontId="7" fillId="11" borderId="1" xfId="0" applyNumberFormat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44" fontId="2" fillId="11" borderId="1" xfId="1" applyFont="1" applyFill="1" applyBorder="1" applyAlignment="1">
      <alignment vertical="center"/>
    </xf>
    <xf numFmtId="44" fontId="2" fillId="11" borderId="1" xfId="1" applyFont="1" applyFill="1" applyBorder="1" applyAlignment="1">
      <alignment horizontal="center" vertical="center"/>
    </xf>
    <xf numFmtId="44" fontId="11" fillId="11" borderId="1" xfId="1" applyFont="1" applyFill="1" applyBorder="1" applyAlignment="1">
      <alignment horizontal="center" vertical="center" wrapText="1"/>
    </xf>
    <xf numFmtId="44" fontId="0" fillId="11" borderId="1" xfId="1" applyFont="1" applyFill="1" applyBorder="1" applyAlignment="1">
      <alignment horizontal="center" vertical="center"/>
    </xf>
    <xf numFmtId="44" fontId="6" fillId="0" borderId="1" xfId="1" applyFont="1" applyFill="1" applyBorder="1" applyAlignment="1">
      <alignment horizontal="center" vertical="center" wrapText="1"/>
    </xf>
    <xf numFmtId="44" fontId="4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171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71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vertical="center" wrapText="1"/>
    </xf>
    <xf numFmtId="164" fontId="6" fillId="13" borderId="1" xfId="0" applyNumberFormat="1" applyFont="1" applyFill="1" applyBorder="1" applyAlignment="1">
      <alignment horizontal="center" vertical="center"/>
    </xf>
    <xf numFmtId="0" fontId="2" fillId="0" borderId="49" xfId="0" applyFont="1" applyBorder="1" applyAlignment="1">
      <alignment horizontal="center"/>
    </xf>
    <xf numFmtId="0" fontId="0" fillId="0" borderId="63" xfId="0" applyBorder="1"/>
    <xf numFmtId="0" fontId="0" fillId="0" borderId="64" xfId="0" applyBorder="1" applyAlignment="1">
      <alignment horizontal="center"/>
    </xf>
    <xf numFmtId="44" fontId="2" fillId="0" borderId="0" xfId="0" applyNumberFormat="1" applyFont="1" applyAlignment="1">
      <alignment horizontal="center"/>
    </xf>
    <xf numFmtId="44" fontId="2" fillId="0" borderId="49" xfId="0" applyNumberFormat="1" applyFont="1" applyBorder="1" applyAlignment="1">
      <alignment horizontal="center"/>
    </xf>
    <xf numFmtId="44" fontId="11" fillId="13" borderId="1" xfId="1" applyFont="1" applyFill="1" applyBorder="1" applyAlignment="1">
      <alignment horizontal="center" vertical="center" wrapText="1"/>
    </xf>
    <xf numFmtId="0" fontId="0" fillId="13" borderId="0" xfId="0" applyFill="1"/>
    <xf numFmtId="0" fontId="2" fillId="13" borderId="0" xfId="0" applyFont="1" applyFill="1"/>
    <xf numFmtId="1" fontId="6" fillId="14" borderId="1" xfId="0" applyNumberFormat="1" applyFont="1" applyFill="1" applyBorder="1" applyAlignment="1">
      <alignment horizontal="center" vertical="center" wrapText="1"/>
    </xf>
    <xf numFmtId="164" fontId="6" fillId="14" borderId="1" xfId="0" applyNumberFormat="1" applyFont="1" applyFill="1" applyBorder="1" applyAlignment="1">
      <alignment horizontal="center" vertical="center"/>
    </xf>
    <xf numFmtId="165" fontId="7" fillId="14" borderId="1" xfId="0" applyNumberFormat="1" applyFont="1" applyFill="1" applyBorder="1" applyAlignment="1">
      <alignment horizontal="center" vertical="center"/>
    </xf>
    <xf numFmtId="44" fontId="11" fillId="14" borderId="1" xfId="1" applyFont="1" applyFill="1" applyBorder="1" applyAlignment="1">
      <alignment horizontal="center" vertical="center" wrapText="1"/>
    </xf>
    <xf numFmtId="0" fontId="0" fillId="14" borderId="0" xfId="0" applyFill="1"/>
    <xf numFmtId="0" fontId="6" fillId="14" borderId="1" xfId="0" applyFont="1" applyFill="1" applyBorder="1" applyAlignment="1">
      <alignment vertical="center" wrapText="1"/>
    </xf>
    <xf numFmtId="0" fontId="45" fillId="0" borderId="1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0" borderId="0" xfId="0" applyFont="1"/>
    <xf numFmtId="0" fontId="0" fillId="10" borderId="0" xfId="0" applyFill="1"/>
    <xf numFmtId="164" fontId="6" fillId="15" borderId="1" xfId="0" applyNumberFormat="1" applyFont="1" applyFill="1" applyBorder="1" applyAlignment="1">
      <alignment horizontal="center" vertical="center"/>
    </xf>
    <xf numFmtId="0" fontId="0" fillId="15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2" fillId="16" borderId="1" xfId="0" applyFont="1" applyFill="1" applyBorder="1" applyAlignment="1">
      <alignment vertical="center" wrapText="1"/>
    </xf>
    <xf numFmtId="1" fontId="6" fillId="16" borderId="1" xfId="0" applyNumberFormat="1" applyFont="1" applyFill="1" applyBorder="1" applyAlignment="1">
      <alignment horizontal="center" vertical="center" wrapText="1"/>
    </xf>
    <xf numFmtId="164" fontId="6" fillId="16" borderId="1" xfId="0" applyNumberFormat="1" applyFont="1" applyFill="1" applyBorder="1" applyAlignment="1">
      <alignment horizontal="center" vertical="center"/>
    </xf>
    <xf numFmtId="170" fontId="2" fillId="16" borderId="1" xfId="0" applyNumberFormat="1" applyFont="1" applyFill="1" applyBorder="1" applyAlignment="1">
      <alignment horizontal="center" vertical="center"/>
    </xf>
    <xf numFmtId="165" fontId="7" fillId="16" borderId="1" xfId="0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/>
    </xf>
    <xf numFmtId="44" fontId="2" fillId="16" borderId="1" xfId="1" applyFont="1" applyFill="1" applyBorder="1" applyAlignment="1">
      <alignment vertical="center"/>
    </xf>
    <xf numFmtId="44" fontId="2" fillId="16" borderId="1" xfId="1" applyFont="1" applyFill="1" applyBorder="1" applyAlignment="1">
      <alignment horizontal="center" vertical="center"/>
    </xf>
    <xf numFmtId="44" fontId="11" fillId="16" borderId="1" xfId="1" applyFont="1" applyFill="1" applyBorder="1" applyAlignment="1">
      <alignment horizontal="center" vertical="center" wrapText="1"/>
    </xf>
    <xf numFmtId="0" fontId="2" fillId="16" borderId="0" xfId="0" applyFont="1" applyFill="1"/>
    <xf numFmtId="0" fontId="0" fillId="0" borderId="0" xfId="0" applyAlignment="1">
      <alignment horizontal="left" wrapText="1"/>
    </xf>
    <xf numFmtId="0" fontId="6" fillId="16" borderId="1" xfId="0" applyFont="1" applyFill="1" applyBorder="1" applyAlignment="1">
      <alignment vertical="center" wrapText="1"/>
    </xf>
    <xf numFmtId="44" fontId="0" fillId="16" borderId="1" xfId="1" applyFont="1" applyFill="1" applyBorder="1" applyAlignment="1">
      <alignment horizontal="center" vertical="center"/>
    </xf>
    <xf numFmtId="164" fontId="6" fillId="17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" fillId="17" borderId="0" xfId="0" applyFont="1" applyFill="1"/>
    <xf numFmtId="0" fontId="0" fillId="0" borderId="1" xfId="0" applyBorder="1"/>
    <xf numFmtId="44" fontId="0" fillId="0" borderId="0" xfId="1" applyFont="1"/>
    <xf numFmtId="44" fontId="2" fillId="0" borderId="0" xfId="1" applyFont="1"/>
    <xf numFmtId="44" fontId="0" fillId="0" borderId="1" xfId="1" applyFont="1" applyBorder="1"/>
    <xf numFmtId="0" fontId="2" fillId="0" borderId="0" xfId="0" applyFont="1" applyAlignment="1">
      <alignment vertical="center"/>
    </xf>
    <xf numFmtId="44" fontId="2" fillId="0" borderId="0" xfId="1" applyFont="1" applyAlignment="1">
      <alignment vertical="center"/>
    </xf>
    <xf numFmtId="44" fontId="2" fillId="0" borderId="0" xfId="1" applyFont="1" applyAlignment="1">
      <alignment horizontal="center" vertical="center" wrapText="1"/>
    </xf>
    <xf numFmtId="44" fontId="0" fillId="0" borderId="1" xfId="1" applyFont="1" applyBorder="1" applyAlignment="1">
      <alignment horizontal="center"/>
    </xf>
    <xf numFmtId="0" fontId="2" fillId="18" borderId="0" xfId="0" applyFont="1" applyFill="1"/>
    <xf numFmtId="0" fontId="2" fillId="18" borderId="68" xfId="0" applyFont="1" applyFill="1" applyBorder="1"/>
    <xf numFmtId="0" fontId="0" fillId="0" borderId="69" xfId="0" applyBorder="1" applyProtection="1">
      <protection locked="0"/>
    </xf>
    <xf numFmtId="0" fontId="11" fillId="0" borderId="69" xfId="0" applyFont="1" applyBorder="1" applyProtection="1">
      <protection locked="0"/>
    </xf>
    <xf numFmtId="0" fontId="0" fillId="0" borderId="70" xfId="0" applyBorder="1" applyProtection="1">
      <protection locked="0"/>
    </xf>
    <xf numFmtId="44" fontId="1" fillId="15" borderId="70" xfId="1" applyFont="1" applyFill="1" applyBorder="1" applyAlignment="1" applyProtection="1">
      <alignment horizontal="center"/>
      <protection locked="0"/>
    </xf>
    <xf numFmtId="44" fontId="11" fillId="15" borderId="70" xfId="1" applyFont="1" applyFill="1" applyBorder="1" applyAlignment="1" applyProtection="1">
      <alignment horizontal="center"/>
      <protection locked="0"/>
    </xf>
    <xf numFmtId="44" fontId="1" fillId="0" borderId="70" xfId="1" applyFont="1" applyBorder="1" applyAlignment="1" applyProtection="1">
      <alignment horizontal="center"/>
      <protection locked="0"/>
    </xf>
    <xf numFmtId="0" fontId="0" fillId="0" borderId="71" xfId="0" applyBorder="1" applyProtection="1">
      <protection locked="0"/>
    </xf>
    <xf numFmtId="0" fontId="0" fillId="0" borderId="72" xfId="0" applyBorder="1" applyProtection="1">
      <protection locked="0"/>
    </xf>
    <xf numFmtId="44" fontId="1" fillId="15" borderId="72" xfId="1" applyFont="1" applyFill="1" applyBorder="1" applyAlignment="1" applyProtection="1">
      <alignment horizontal="center"/>
      <protection locked="0"/>
    </xf>
    <xf numFmtId="44" fontId="11" fillId="15" borderId="72" xfId="1" applyFont="1" applyFill="1" applyBorder="1" applyAlignment="1" applyProtection="1">
      <alignment horizontal="center"/>
      <protection locked="0"/>
    </xf>
    <xf numFmtId="44" fontId="1" fillId="10" borderId="72" xfId="1" applyFont="1" applyFill="1" applyBorder="1" applyAlignment="1" applyProtection="1">
      <alignment horizontal="center"/>
      <protection locked="0"/>
    </xf>
    <xf numFmtId="44" fontId="11" fillId="10" borderId="72" xfId="1" applyFont="1" applyFill="1" applyBorder="1" applyAlignment="1" applyProtection="1">
      <alignment horizontal="center"/>
      <protection locked="0"/>
    </xf>
    <xf numFmtId="44" fontId="1" fillId="0" borderId="72" xfId="1" applyFont="1" applyBorder="1" applyAlignment="1" applyProtection="1">
      <alignment horizontal="center"/>
      <protection locked="0"/>
    </xf>
    <xf numFmtId="44" fontId="2" fillId="18" borderId="68" xfId="1" applyFont="1" applyFill="1" applyBorder="1"/>
    <xf numFmtId="44" fontId="2" fillId="15" borderId="68" xfId="1" applyFont="1" applyFill="1" applyBorder="1"/>
    <xf numFmtId="0" fontId="11" fillId="15" borderId="69" xfId="0" applyFont="1" applyFill="1" applyBorder="1" applyProtection="1">
      <protection locked="0"/>
    </xf>
    <xf numFmtId="44" fontId="1" fillId="15" borderId="68" xfId="1" applyFont="1" applyFill="1" applyBorder="1"/>
    <xf numFmtId="44" fontId="0" fillId="15" borderId="75" xfId="1" applyFont="1" applyFill="1" applyBorder="1" applyProtection="1">
      <protection locked="0"/>
    </xf>
    <xf numFmtId="44" fontId="2" fillId="0" borderId="68" xfId="1" applyFont="1" applyBorder="1" applyAlignment="1" applyProtection="1">
      <alignment horizontal="center" vertical="center"/>
    </xf>
    <xf numFmtId="0" fontId="2" fillId="16" borderId="73" xfId="0" applyFont="1" applyFill="1" applyBorder="1"/>
    <xf numFmtId="0" fontId="2" fillId="16" borderId="68" xfId="0" applyFont="1" applyFill="1" applyBorder="1"/>
    <xf numFmtId="44" fontId="2" fillId="16" borderId="68" xfId="0" applyNumberFormat="1" applyFont="1" applyFill="1" applyBorder="1"/>
    <xf numFmtId="44" fontId="2" fillId="16" borderId="68" xfId="1" applyFont="1" applyFill="1" applyBorder="1"/>
    <xf numFmtId="0" fontId="0" fillId="16" borderId="0" xfId="0" applyFill="1"/>
    <xf numFmtId="44" fontId="2" fillId="16" borderId="74" xfId="1" applyFont="1" applyFill="1" applyBorder="1"/>
    <xf numFmtId="0" fontId="0" fillId="16" borderId="73" xfId="0" applyFill="1" applyBorder="1"/>
    <xf numFmtId="44" fontId="2" fillId="16" borderId="0" xfId="1" applyFont="1" applyFill="1"/>
    <xf numFmtId="172" fontId="2" fillId="15" borderId="1" xfId="0" applyNumberFormat="1" applyFont="1" applyFill="1" applyBorder="1" applyAlignment="1">
      <alignment horizontal="center"/>
    </xf>
    <xf numFmtId="44" fontId="2" fillId="0" borderId="1" xfId="1" applyFont="1" applyBorder="1"/>
    <xf numFmtId="8" fontId="0" fillId="0" borderId="0" xfId="0" applyNumberFormat="1"/>
    <xf numFmtId="0" fontId="11" fillId="0" borderId="0" xfId="0" applyFont="1" applyProtection="1">
      <protection locked="0"/>
    </xf>
    <xf numFmtId="44" fontId="11" fillId="0" borderId="70" xfId="1" applyFont="1" applyFill="1" applyBorder="1" applyAlignment="1" applyProtection="1">
      <alignment horizontal="center"/>
      <protection locked="0"/>
    </xf>
    <xf numFmtId="44" fontId="1" fillId="0" borderId="72" xfId="1" applyFont="1" applyFill="1" applyBorder="1" applyAlignment="1" applyProtection="1">
      <alignment horizontal="center"/>
      <protection locked="0"/>
    </xf>
    <xf numFmtId="172" fontId="2" fillId="10" borderId="1" xfId="0" applyNumberFormat="1" applyFont="1" applyFill="1" applyBorder="1" applyAlignment="1">
      <alignment horizontal="center"/>
    </xf>
    <xf numFmtId="44" fontId="2" fillId="10" borderId="68" xfId="1" applyFont="1" applyFill="1" applyBorder="1" applyAlignment="1" applyProtection="1">
      <alignment horizontal="center" vertical="center"/>
    </xf>
    <xf numFmtId="0" fontId="2" fillId="10" borderId="68" xfId="0" applyFont="1" applyFill="1" applyBorder="1"/>
    <xf numFmtId="44" fontId="2" fillId="10" borderId="74" xfId="1" applyFont="1" applyFill="1" applyBorder="1"/>
    <xf numFmtId="44" fontId="2" fillId="10" borderId="68" xfId="1" applyFont="1" applyFill="1" applyBorder="1"/>
    <xf numFmtId="44" fontId="1" fillId="10" borderId="70" xfId="1" applyFont="1" applyFill="1" applyBorder="1" applyAlignment="1" applyProtection="1">
      <alignment horizontal="center"/>
      <protection locked="0"/>
    </xf>
    <xf numFmtId="8" fontId="0" fillId="10" borderId="0" xfId="0" applyNumberFormat="1" applyFill="1"/>
    <xf numFmtId="0" fontId="0" fillId="0" borderId="0" xfId="0" applyProtection="1">
      <protection locked="0"/>
    </xf>
    <xf numFmtId="0" fontId="0" fillId="0" borderId="68" xfId="0" applyBorder="1" applyProtection="1">
      <protection locked="0"/>
    </xf>
    <xf numFmtId="44" fontId="1" fillId="15" borderId="68" xfId="1" applyFont="1" applyFill="1" applyBorder="1" applyAlignment="1" applyProtection="1">
      <alignment horizontal="center"/>
      <protection locked="0"/>
    </xf>
    <xf numFmtId="44" fontId="11" fillId="15" borderId="68" xfId="1" applyFont="1" applyFill="1" applyBorder="1" applyAlignment="1" applyProtection="1">
      <alignment horizontal="center"/>
      <protection locked="0"/>
    </xf>
    <xf numFmtId="44" fontId="1" fillId="0" borderId="68" xfId="1" applyFont="1" applyFill="1" applyBorder="1" applyAlignment="1" applyProtection="1">
      <alignment horizontal="center"/>
      <protection locked="0"/>
    </xf>
    <xf numFmtId="44" fontId="0" fillId="10" borderId="0" xfId="1" applyFont="1" applyFill="1"/>
    <xf numFmtId="0" fontId="0" fillId="0" borderId="2" xfId="0" applyBorder="1"/>
    <xf numFmtId="44" fontId="0" fillId="0" borderId="2" xfId="1" applyFont="1" applyBorder="1"/>
    <xf numFmtId="44" fontId="0" fillId="0" borderId="2" xfId="1" applyFont="1" applyBorder="1" applyAlignment="1">
      <alignment horizontal="center"/>
    </xf>
    <xf numFmtId="44" fontId="6" fillId="14" borderId="1" xfId="1" applyFont="1" applyFill="1" applyBorder="1" applyAlignment="1">
      <alignment horizontal="center" vertical="center" wrapText="1"/>
    </xf>
    <xf numFmtId="44" fontId="6" fillId="11" borderId="1" xfId="1" applyFont="1" applyFill="1" applyBorder="1" applyAlignment="1">
      <alignment horizontal="center" vertical="center" wrapText="1"/>
    </xf>
    <xf numFmtId="44" fontId="6" fillId="16" borderId="1" xfId="1" applyFont="1" applyFill="1" applyBorder="1" applyAlignment="1">
      <alignment horizontal="center" vertical="center" wrapText="1"/>
    </xf>
    <xf numFmtId="44" fontId="0" fillId="0" borderId="0" xfId="0" applyNumberFormat="1" applyAlignment="1">
      <alignment horizontal="center"/>
    </xf>
    <xf numFmtId="44" fontId="0" fillId="0" borderId="0" xfId="0" applyNumberFormat="1"/>
    <xf numFmtId="44" fontId="9" fillId="19" borderId="0" xfId="1" applyFont="1" applyFill="1"/>
    <xf numFmtId="44" fontId="0" fillId="0" borderId="0" xfId="0" applyNumberFormat="1" applyAlignment="1">
      <alignment horizontal="center" wrapText="1"/>
    </xf>
    <xf numFmtId="0" fontId="0" fillId="0" borderId="0" xfId="0" pivotButton="1" applyAlignment="1">
      <alignment wrapText="1"/>
    </xf>
    <xf numFmtId="0" fontId="9" fillId="19" borderId="0" xfId="0" applyFont="1" applyFill="1" applyAlignment="1">
      <alignment horizontal="left" wrapText="1"/>
    </xf>
    <xf numFmtId="44" fontId="0" fillId="0" borderId="2" xfId="0" applyNumberFormat="1" applyBorder="1" applyAlignment="1">
      <alignment horizontal="center"/>
    </xf>
    <xf numFmtId="0" fontId="0" fillId="0" borderId="0" xfId="0" applyAlignment="1">
      <alignment horizontal="left"/>
    </xf>
    <xf numFmtId="0" fontId="2" fillId="14" borderId="0" xfId="0" applyFont="1" applyFill="1"/>
    <xf numFmtId="0" fontId="2" fillId="0" borderId="1" xfId="0" applyFont="1" applyBorder="1" applyAlignment="1">
      <alignment horizontal="center"/>
    </xf>
    <xf numFmtId="44" fontId="0" fillId="10" borderId="1" xfId="0" applyNumberFormat="1" applyFill="1" applyBorder="1"/>
    <xf numFmtId="44" fontId="11" fillId="0" borderId="62" xfId="1" applyFont="1" applyFill="1" applyBorder="1" applyAlignment="1">
      <alignment horizontal="center" vertical="center" wrapText="1"/>
    </xf>
    <xf numFmtId="14" fontId="2" fillId="0" borderId="56" xfId="0" applyNumberFormat="1" applyFont="1" applyBorder="1" applyAlignment="1">
      <alignment horizontal="center"/>
    </xf>
    <xf numFmtId="20" fontId="0" fillId="0" borderId="57" xfId="0" applyNumberFormat="1" applyBorder="1" applyAlignment="1">
      <alignment horizontal="center"/>
    </xf>
    <xf numFmtId="14" fontId="2" fillId="0" borderId="58" xfId="0" applyNumberFormat="1" applyFont="1" applyBorder="1" applyAlignment="1">
      <alignment horizontal="center"/>
    </xf>
    <xf numFmtId="20" fontId="0" fillId="0" borderId="60" xfId="0" applyNumberFormat="1" applyBorder="1" applyAlignment="1">
      <alignment horizontal="center"/>
    </xf>
    <xf numFmtId="49" fontId="2" fillId="0" borderId="58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2" fillId="0" borderId="58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vertical="center"/>
    </xf>
    <xf numFmtId="1" fontId="9" fillId="19" borderId="0" xfId="1" applyNumberFormat="1" applyFont="1" applyFill="1" applyAlignment="1">
      <alignment horizontal="center"/>
    </xf>
    <xf numFmtId="44" fontId="9" fillId="0" borderId="0" xfId="1" applyFont="1" applyFill="1"/>
    <xf numFmtId="44" fontId="0" fillId="0" borderId="0" xfId="0" applyNumberFormat="1" applyAlignment="1">
      <alignment vertical="center"/>
    </xf>
    <xf numFmtId="44" fontId="2" fillId="0" borderId="0" xfId="0" applyNumberFormat="1" applyFont="1" applyAlignment="1">
      <alignment vertical="center"/>
    </xf>
    <xf numFmtId="44" fontId="9" fillId="19" borderId="0" xfId="1" applyFont="1" applyFill="1" applyAlignment="1">
      <alignment vertical="center"/>
    </xf>
    <xf numFmtId="0" fontId="9" fillId="19" borderId="0" xfId="0" applyFont="1" applyFill="1" applyAlignment="1">
      <alignment horizontal="left" vertical="center" wrapText="1"/>
    </xf>
    <xf numFmtId="0" fontId="47" fillId="10" borderId="1" xfId="0" applyFont="1" applyFill="1" applyBorder="1" applyAlignment="1">
      <alignment vertical="center" wrapText="1"/>
    </xf>
    <xf numFmtId="0" fontId="0" fillId="0" borderId="0" xfId="0" applyAlignment="1">
      <alignment horizontal="left" indent="1"/>
    </xf>
    <xf numFmtId="0" fontId="47" fillId="17" borderId="0" xfId="0" applyFont="1" applyFill="1"/>
    <xf numFmtId="0" fontId="47" fillId="0" borderId="0" xfId="0" applyFont="1"/>
    <xf numFmtId="0" fontId="46" fillId="0" borderId="0" xfId="0" applyFont="1"/>
    <xf numFmtId="0" fontId="48" fillId="0" borderId="0" xfId="0" applyFont="1"/>
    <xf numFmtId="0" fontId="46" fillId="10" borderId="0" xfId="0" applyFont="1" applyFill="1"/>
    <xf numFmtId="164" fontId="6" fillId="0" borderId="0" xfId="0" applyNumberFormat="1" applyFont="1" applyAlignment="1">
      <alignment horizontal="center" vertical="center" wrapText="1"/>
    </xf>
    <xf numFmtId="170" fontId="6" fillId="14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/>
    </xf>
    <xf numFmtId="44" fontId="6" fillId="14" borderId="1" xfId="1" applyFont="1" applyFill="1" applyBorder="1" applyAlignment="1">
      <alignment vertical="center"/>
    </xf>
    <xf numFmtId="44" fontId="6" fillId="14" borderId="1" xfId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44" fontId="6" fillId="0" borderId="1" xfId="1" applyFont="1" applyFill="1" applyBorder="1" applyAlignment="1">
      <alignment vertical="center"/>
    </xf>
    <xf numFmtId="44" fontId="6" fillId="0" borderId="1" xfId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44" fontId="6" fillId="11" borderId="1" xfId="1" applyFont="1" applyFill="1" applyBorder="1" applyAlignment="1">
      <alignment vertical="center"/>
    </xf>
    <xf numFmtId="44" fontId="6" fillId="11" borderId="1" xfId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44" fontId="6" fillId="0" borderId="61" xfId="1" applyFont="1" applyFill="1" applyBorder="1" applyAlignment="1">
      <alignment vertical="center"/>
    </xf>
    <xf numFmtId="44" fontId="6" fillId="0" borderId="62" xfId="1" applyFont="1" applyFill="1" applyBorder="1" applyAlignment="1">
      <alignment horizontal="center" vertical="center"/>
    </xf>
    <xf numFmtId="44" fontId="11" fillId="20" borderId="1" xfId="1" applyFont="1" applyFill="1" applyBorder="1" applyAlignment="1">
      <alignment horizontal="center" vertical="center" wrapText="1"/>
    </xf>
    <xf numFmtId="44" fontId="11" fillId="20" borderId="62" xfId="1" applyFont="1" applyFill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/>
    <xf numFmtId="170" fontId="45" fillId="0" borderId="1" xfId="0" applyNumberFormat="1" applyFont="1" applyBorder="1" applyAlignment="1">
      <alignment horizontal="center" vertical="center"/>
    </xf>
    <xf numFmtId="165" fontId="45" fillId="0" borderId="1" xfId="0" applyNumberFormat="1" applyFont="1" applyBorder="1" applyAlignment="1">
      <alignment horizontal="center" vertical="center"/>
    </xf>
    <xf numFmtId="165" fontId="45" fillId="0" borderId="1" xfId="0" applyNumberFormat="1" applyFont="1" applyBorder="1"/>
    <xf numFmtId="0" fontId="45" fillId="0" borderId="1" xfId="0" applyFont="1" applyBorder="1" applyAlignment="1">
      <alignment vertical="center"/>
    </xf>
    <xf numFmtId="44" fontId="45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wrapText="1"/>
    </xf>
    <xf numFmtId="0" fontId="51" fillId="0" borderId="0" xfId="0" applyFont="1"/>
    <xf numFmtId="0" fontId="51" fillId="0" borderId="0" xfId="0" applyFont="1" applyAlignment="1">
      <alignment wrapText="1"/>
    </xf>
    <xf numFmtId="170" fontId="51" fillId="0" borderId="0" xfId="0" applyNumberFormat="1" applyFont="1"/>
    <xf numFmtId="44" fontId="51" fillId="0" borderId="0" xfId="1" applyFont="1"/>
    <xf numFmtId="44" fontId="51" fillId="0" borderId="0" xfId="0" applyNumberFormat="1" applyFont="1" applyAlignment="1">
      <alignment horizontal="center"/>
    </xf>
    <xf numFmtId="14" fontId="51" fillId="0" borderId="0" xfId="0" applyNumberFormat="1" applyFont="1"/>
    <xf numFmtId="0" fontId="11" fillId="0" borderId="0" xfId="0" applyFont="1" applyAlignment="1">
      <alignment horizontal="center"/>
    </xf>
    <xf numFmtId="14" fontId="5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 wrapText="1"/>
    </xf>
    <xf numFmtId="170" fontId="11" fillId="0" borderId="0" xfId="0" applyNumberFormat="1" applyFont="1" applyAlignment="1">
      <alignment horizontal="center"/>
    </xf>
    <xf numFmtId="44" fontId="11" fillId="0" borderId="0" xfId="1" applyFont="1" applyAlignment="1">
      <alignment horizontal="center"/>
    </xf>
    <xf numFmtId="14" fontId="11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44" fontId="5" fillId="0" borderId="0" xfId="1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4" fontId="5" fillId="0" borderId="0" xfId="1" applyFont="1" applyAlignment="1">
      <alignment vertical="center" wrapText="1"/>
    </xf>
    <xf numFmtId="0" fontId="49" fillId="0" borderId="0" xfId="0" applyFont="1" applyAlignment="1">
      <alignment vertical="center" wrapText="1"/>
    </xf>
    <xf numFmtId="0" fontId="46" fillId="0" borderId="69" xfId="0" applyFont="1" applyBorder="1" applyProtection="1">
      <protection locked="0"/>
    </xf>
    <xf numFmtId="0" fontId="11" fillId="0" borderId="71" xfId="0" applyFont="1" applyBorder="1" applyProtection="1">
      <protection locked="0"/>
    </xf>
    <xf numFmtId="0" fontId="46" fillId="0" borderId="71" xfId="0" applyFont="1" applyBorder="1" applyProtection="1">
      <protection locked="0"/>
    </xf>
    <xf numFmtId="44" fontId="11" fillId="0" borderId="72" xfId="1" applyFont="1" applyFill="1" applyBorder="1" applyAlignment="1" applyProtection="1">
      <alignment horizontal="center"/>
      <protection locked="0"/>
    </xf>
    <xf numFmtId="44" fontId="2" fillId="0" borderId="0" xfId="1" applyFont="1" applyFill="1"/>
    <xf numFmtId="44" fontId="11" fillId="0" borderId="68" xfId="1" applyFont="1" applyFill="1" applyBorder="1" applyAlignment="1" applyProtection="1">
      <alignment horizontal="center"/>
      <protection locked="0"/>
    </xf>
    <xf numFmtId="0" fontId="46" fillId="14" borderId="0" xfId="0" applyFont="1" applyFill="1"/>
    <xf numFmtId="0" fontId="47" fillId="14" borderId="0" xfId="0" applyFont="1" applyFill="1"/>
    <xf numFmtId="0" fontId="52" fillId="0" borderId="0" xfId="0" applyFont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vertical="center"/>
    </xf>
    <xf numFmtId="0" fontId="53" fillId="0" borderId="0" xfId="0" applyFont="1" applyAlignment="1">
      <alignment horizontal="center"/>
    </xf>
    <xf numFmtId="14" fontId="53" fillId="0" borderId="0" xfId="0" applyNumberFormat="1" applyFont="1" applyAlignment="1">
      <alignment vertical="center" wrapText="1"/>
    </xf>
    <xf numFmtId="0" fontId="55" fillId="0" borderId="0" xfId="0" applyFont="1" applyAlignment="1">
      <alignment vertical="center" wrapText="1"/>
    </xf>
    <xf numFmtId="0" fontId="58" fillId="0" borderId="0" xfId="0" applyFont="1" applyAlignment="1">
      <alignment vertical="center"/>
    </xf>
    <xf numFmtId="44" fontId="6" fillId="0" borderId="0" xfId="1" applyFont="1" applyAlignment="1">
      <alignment vertical="center" wrapText="1"/>
    </xf>
    <xf numFmtId="0" fontId="56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6" fillId="10" borderId="1" xfId="0" applyFont="1" applyFill="1" applyBorder="1" applyAlignment="1">
      <alignment vertical="center" wrapText="1"/>
    </xf>
    <xf numFmtId="1" fontId="6" fillId="10" borderId="1" xfId="0" applyNumberFormat="1" applyFont="1" applyFill="1" applyBorder="1" applyAlignment="1">
      <alignment horizontal="center" vertical="center" wrapText="1"/>
    </xf>
    <xf numFmtId="170" fontId="6" fillId="10" borderId="1" xfId="0" applyNumberFormat="1" applyFont="1" applyFill="1" applyBorder="1" applyAlignment="1">
      <alignment horizontal="center" vertical="center"/>
    </xf>
    <xf numFmtId="165" fontId="7" fillId="10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/>
    </xf>
    <xf numFmtId="44" fontId="6" fillId="10" borderId="1" xfId="1" applyFont="1" applyFill="1" applyBorder="1" applyAlignment="1">
      <alignment horizontal="center" vertical="center"/>
    </xf>
    <xf numFmtId="44" fontId="6" fillId="10" borderId="1" xfId="1" applyFont="1" applyFill="1" applyBorder="1" applyAlignment="1">
      <alignment horizontal="center" vertical="center" wrapText="1"/>
    </xf>
    <xf numFmtId="0" fontId="6" fillId="10" borderId="0" xfId="0" applyFont="1" applyFill="1" applyAlignment="1">
      <alignment vertical="center"/>
    </xf>
    <xf numFmtId="0" fontId="47" fillId="10" borderId="0" xfId="0" applyFont="1" applyFill="1"/>
    <xf numFmtId="0" fontId="50" fillId="0" borderId="62" xfId="0" applyFont="1" applyBorder="1" applyAlignment="1">
      <alignment horizontal="center" vertical="center"/>
    </xf>
    <xf numFmtId="44" fontId="6" fillId="10" borderId="1" xfId="1" applyFont="1" applyFill="1" applyBorder="1" applyAlignment="1">
      <alignment vertical="center"/>
    </xf>
    <xf numFmtId="44" fontId="11" fillId="10" borderId="1" xfId="1" applyFont="1" applyFill="1" applyBorder="1" applyAlignment="1">
      <alignment horizontal="center" vertical="center" wrapText="1"/>
    </xf>
    <xf numFmtId="44" fontId="6" fillId="14" borderId="61" xfId="1" applyFont="1" applyFill="1" applyBorder="1" applyAlignment="1">
      <alignment horizontal="center" vertical="center"/>
    </xf>
    <xf numFmtId="0" fontId="50" fillId="0" borderId="61" xfId="0" applyFont="1" applyBorder="1" applyAlignment="1">
      <alignment horizontal="center" vertical="center" wrapText="1"/>
    </xf>
    <xf numFmtId="44" fontId="5" fillId="0" borderId="0" xfId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10" borderId="0" xfId="0" applyFont="1" applyFill="1" applyAlignment="1">
      <alignment horizontal="center" vertical="center" wrapText="1"/>
    </xf>
    <xf numFmtId="0" fontId="11" fillId="0" borderId="1" xfId="0" applyFont="1" applyBorder="1" applyAlignment="1">
      <alignment vertical="center" wrapText="1"/>
    </xf>
    <xf numFmtId="0" fontId="11" fillId="10" borderId="1" xfId="0" applyFont="1" applyFill="1" applyBorder="1" applyAlignment="1">
      <alignment vertical="center" wrapText="1"/>
    </xf>
    <xf numFmtId="0" fontId="50" fillId="0" borderId="1" xfId="0" applyFont="1" applyBorder="1" applyAlignment="1">
      <alignment horizontal="center" vertical="center" wrapText="1"/>
    </xf>
    <xf numFmtId="4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19" borderId="0" xfId="0" applyFont="1" applyFill="1" applyAlignment="1">
      <alignment horizontal="center"/>
    </xf>
    <xf numFmtId="0" fontId="2" fillId="0" borderId="65" xfId="0" applyFont="1" applyBorder="1" applyAlignment="1">
      <alignment horizontal="center"/>
    </xf>
    <xf numFmtId="0" fontId="2" fillId="0" borderId="66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166" fontId="28" fillId="4" borderId="13" xfId="4" quotePrefix="1" applyNumberFormat="1" applyFont="1" applyFill="1" applyBorder="1" applyAlignment="1">
      <alignment horizontal="center" vertical="center" shrinkToFit="1"/>
    </xf>
    <xf numFmtId="0" fontId="29" fillId="4" borderId="13" xfId="4" applyFont="1" applyFill="1" applyBorder="1" applyAlignment="1">
      <alignment horizontal="center" vertical="center" shrinkToFit="1"/>
    </xf>
    <xf numFmtId="166" fontId="28" fillId="4" borderId="13" xfId="3" quotePrefix="1" applyNumberFormat="1" applyFont="1" applyFill="1" applyBorder="1" applyAlignment="1">
      <alignment horizontal="center" vertical="center" shrinkToFit="1"/>
    </xf>
    <xf numFmtId="0" fontId="29" fillId="4" borderId="13" xfId="3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15" fillId="2" borderId="7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7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0" fillId="0" borderId="3" xfId="0" applyBorder="1" applyAlignment="1">
      <alignment horizontal="center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shrinkToFit="1"/>
    </xf>
    <xf numFmtId="0" fontId="8" fillId="0" borderId="3" xfId="0" applyFont="1" applyBorder="1" applyAlignment="1">
      <alignment horizontal="center" vertical="center" shrinkToFit="1"/>
    </xf>
    <xf numFmtId="0" fontId="20" fillId="0" borderId="0" xfId="0" applyFont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8" fillId="0" borderId="11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 shrinkToFit="1"/>
    </xf>
    <xf numFmtId="0" fontId="13" fillId="0" borderId="3" xfId="0" applyFont="1" applyBorder="1" applyAlignment="1">
      <alignment horizontal="left" vertical="center" wrapText="1" shrinkToFit="1"/>
    </xf>
    <xf numFmtId="0" fontId="19" fillId="0" borderId="1" xfId="0" applyFont="1" applyBorder="1" applyAlignment="1">
      <alignment vertical="center" wrapText="1"/>
    </xf>
    <xf numFmtId="0" fontId="17" fillId="0" borderId="2" xfId="0" applyFont="1" applyBorder="1" applyAlignment="1">
      <alignment horizontal="left" wrapText="1"/>
    </xf>
    <xf numFmtId="0" fontId="17" fillId="0" borderId="3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center" wrapText="1"/>
    </xf>
    <xf numFmtId="0" fontId="15" fillId="3" borderId="7" xfId="0" applyFont="1" applyFill="1" applyBorder="1" applyAlignment="1">
      <alignment horizontal="center" vertical="center" wrapText="1"/>
    </xf>
    <xf numFmtId="0" fontId="15" fillId="3" borderId="0" xfId="0" applyFont="1" applyFill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0" fillId="0" borderId="9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14" fontId="53" fillId="0" borderId="0" xfId="0" applyNumberFormat="1" applyFont="1" applyAlignment="1">
      <alignment horizontal="center" vertical="center" wrapText="1"/>
    </xf>
  </cellXfs>
  <cellStyles count="6">
    <cellStyle name="Hiperlink" xfId="2" builtinId="8"/>
    <cellStyle name="Moeda" xfId="1" builtinId="4"/>
    <cellStyle name="Normal" xfId="0" builtinId="0"/>
    <cellStyle name="Normal 2" xfId="3" xr:uid="{AC6E45FF-313E-4BEC-B292-11B834E507FF}"/>
    <cellStyle name="Normal 3" xfId="4" xr:uid="{F178139E-23EC-42B2-9F61-71AE2DD400A7}"/>
    <cellStyle name="WinCalendar_BlankCells_14" xfId="5" xr:uid="{04F9F399-0220-44FB-88A3-42A1E6006BA4}"/>
  </cellStyles>
  <dxfs count="280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5" formatCode="[$-416]d\-m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5" formatCode="[$-416]d\-mm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70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70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4" formatCode="[h]:mm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4" formatCode="[h]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416]d\-m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416]d\-mmm;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416]d\-mm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0.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h]:mm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h]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1"/>
      </font>
      <fill>
        <patternFill>
          <bgColor rgb="FFFF505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1"/>
      </font>
      <fill>
        <patternFill>
          <bgColor rgb="FFFF505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general"/>
    </dxf>
    <dxf>
      <alignment horizontal="general"/>
    </dxf>
    <dxf>
      <numFmt numFmtId="1" formatCode="0"/>
    </dxf>
    <dxf>
      <numFmt numFmtId="1" formatCode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1" indent="0"/>
    </dxf>
    <dxf>
      <alignment wrapText="1" indent="0"/>
    </dxf>
    <dxf>
      <alignment wrapText="1" indent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1" indent="0"/>
    </dxf>
    <dxf>
      <alignment wrapText="1" indent="0"/>
    </dxf>
    <dxf>
      <alignment wrapText="1" indent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alignment horizontal="center"/>
    </dxf>
    <dxf>
      <numFmt numFmtId="1" formatCode="0"/>
    </dxf>
    <dxf>
      <numFmt numFmtId="1" formatCode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</dxfs>
  <tableStyles count="0" defaultTableStyle="TableStyleMedium2" defaultPivotStyle="PivotStyleLight16"/>
  <colors>
    <mruColors>
      <color rgb="FFF9677F"/>
      <color rgb="FFDBB7FF"/>
      <color rgb="FFFF5050"/>
      <color rgb="FF99CCFF"/>
      <color rgb="FFFF4F4F"/>
      <color rgb="FFFF4343"/>
      <color rgb="FF80F628"/>
      <color rgb="FFEEDDFF"/>
      <color rgb="FFF747D1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</xdr:row>
      <xdr:rowOff>11430</xdr:rowOff>
    </xdr:from>
    <xdr:ext cx="537455" cy="121700"/>
    <xdr:sp macro="" textlink="">
      <xdr:nvSpPr>
        <xdr:cNvPr id="2" name="WinCalLogo1">
          <a:extLst>
            <a:ext uri="{FF2B5EF4-FFF2-40B4-BE49-F238E27FC236}">
              <a16:creationId xmlns:a16="http://schemas.microsoft.com/office/drawing/2014/main" id="{66D0B124-A43F-4B4D-ABFE-A87F0E3CF24A}"/>
            </a:ext>
          </a:extLst>
        </xdr:cNvPr>
        <xdr:cNvSpPr>
          <a:spLocks noChangeArrowheads="1"/>
        </xdr:cNvSpPr>
      </xdr:nvSpPr>
      <xdr:spPr bwMode="auto">
        <a:xfrm>
          <a:off x="200025" y="4495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2</xdr:row>
      <xdr:rowOff>11430</xdr:rowOff>
    </xdr:from>
    <xdr:ext cx="537455" cy="121700"/>
    <xdr:sp macro="" textlink="">
      <xdr:nvSpPr>
        <xdr:cNvPr id="3" name="WinCalLogo1">
          <a:extLst>
            <a:ext uri="{FF2B5EF4-FFF2-40B4-BE49-F238E27FC236}">
              <a16:creationId xmlns:a16="http://schemas.microsoft.com/office/drawing/2014/main" id="{AF28BB9D-2CDB-45DB-8AF5-44EFFE1F4939}"/>
            </a:ext>
          </a:extLst>
        </xdr:cNvPr>
        <xdr:cNvSpPr>
          <a:spLocks noChangeArrowheads="1"/>
        </xdr:cNvSpPr>
      </xdr:nvSpPr>
      <xdr:spPr bwMode="auto">
        <a:xfrm>
          <a:off x="3648075" y="4495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10</xdr:row>
      <xdr:rowOff>11430</xdr:rowOff>
    </xdr:from>
    <xdr:ext cx="537455" cy="121700"/>
    <xdr:sp macro="" textlink="">
      <xdr:nvSpPr>
        <xdr:cNvPr id="4" name="WinCalLogo1">
          <a:extLst>
            <a:ext uri="{FF2B5EF4-FFF2-40B4-BE49-F238E27FC236}">
              <a16:creationId xmlns:a16="http://schemas.microsoft.com/office/drawing/2014/main" id="{38B378B8-AD5A-4B06-AF94-FBA5A447FC5D}"/>
            </a:ext>
          </a:extLst>
        </xdr:cNvPr>
        <xdr:cNvSpPr>
          <a:spLocks noChangeArrowheads="1"/>
        </xdr:cNvSpPr>
      </xdr:nvSpPr>
      <xdr:spPr bwMode="auto">
        <a:xfrm>
          <a:off x="200025" y="20212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10</xdr:row>
      <xdr:rowOff>11430</xdr:rowOff>
    </xdr:from>
    <xdr:ext cx="537455" cy="121700"/>
    <xdr:sp macro="" textlink="">
      <xdr:nvSpPr>
        <xdr:cNvPr id="5" name="WinCalLogo1">
          <a:extLst>
            <a:ext uri="{FF2B5EF4-FFF2-40B4-BE49-F238E27FC236}">
              <a16:creationId xmlns:a16="http://schemas.microsoft.com/office/drawing/2014/main" id="{9DA72C49-C296-4ED9-9CA2-858914A6DBC0}"/>
            </a:ext>
          </a:extLst>
        </xdr:cNvPr>
        <xdr:cNvSpPr>
          <a:spLocks noChangeArrowheads="1"/>
        </xdr:cNvSpPr>
      </xdr:nvSpPr>
      <xdr:spPr bwMode="auto">
        <a:xfrm>
          <a:off x="3648075" y="20212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19</xdr:row>
      <xdr:rowOff>11430</xdr:rowOff>
    </xdr:from>
    <xdr:ext cx="537455" cy="121700"/>
    <xdr:sp macro="" textlink="">
      <xdr:nvSpPr>
        <xdr:cNvPr id="6" name="WinCalLogo1">
          <a:extLst>
            <a:ext uri="{FF2B5EF4-FFF2-40B4-BE49-F238E27FC236}">
              <a16:creationId xmlns:a16="http://schemas.microsoft.com/office/drawing/2014/main" id="{4A208868-516D-4805-B345-0980C959EACB}"/>
            </a:ext>
          </a:extLst>
        </xdr:cNvPr>
        <xdr:cNvSpPr>
          <a:spLocks noChangeArrowheads="1"/>
        </xdr:cNvSpPr>
      </xdr:nvSpPr>
      <xdr:spPr bwMode="auto">
        <a:xfrm>
          <a:off x="200025" y="37738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19</xdr:row>
      <xdr:rowOff>11430</xdr:rowOff>
    </xdr:from>
    <xdr:ext cx="537455" cy="121700"/>
    <xdr:sp macro="" textlink="">
      <xdr:nvSpPr>
        <xdr:cNvPr id="7" name="WinCalLogo1">
          <a:extLst>
            <a:ext uri="{FF2B5EF4-FFF2-40B4-BE49-F238E27FC236}">
              <a16:creationId xmlns:a16="http://schemas.microsoft.com/office/drawing/2014/main" id="{AA75C9D6-9895-4548-82BB-2633DB8F46EF}"/>
            </a:ext>
          </a:extLst>
        </xdr:cNvPr>
        <xdr:cNvSpPr>
          <a:spLocks noChangeArrowheads="1"/>
        </xdr:cNvSpPr>
      </xdr:nvSpPr>
      <xdr:spPr bwMode="auto">
        <a:xfrm>
          <a:off x="3648075" y="37738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27</xdr:row>
      <xdr:rowOff>11430</xdr:rowOff>
    </xdr:from>
    <xdr:ext cx="537455" cy="121700"/>
    <xdr:sp macro="" textlink="">
      <xdr:nvSpPr>
        <xdr:cNvPr id="8" name="WinCalLogo1">
          <a:extLst>
            <a:ext uri="{FF2B5EF4-FFF2-40B4-BE49-F238E27FC236}">
              <a16:creationId xmlns:a16="http://schemas.microsoft.com/office/drawing/2014/main" id="{60E644E2-1492-4121-A844-83785B6E33F5}"/>
            </a:ext>
          </a:extLst>
        </xdr:cNvPr>
        <xdr:cNvSpPr>
          <a:spLocks noChangeArrowheads="1"/>
        </xdr:cNvSpPr>
      </xdr:nvSpPr>
      <xdr:spPr bwMode="auto">
        <a:xfrm>
          <a:off x="200025" y="54787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27</xdr:row>
      <xdr:rowOff>11430</xdr:rowOff>
    </xdr:from>
    <xdr:ext cx="537455" cy="121700"/>
    <xdr:sp macro="" textlink="">
      <xdr:nvSpPr>
        <xdr:cNvPr id="9" name="WinCalLogo1">
          <a:extLst>
            <a:ext uri="{FF2B5EF4-FFF2-40B4-BE49-F238E27FC236}">
              <a16:creationId xmlns:a16="http://schemas.microsoft.com/office/drawing/2014/main" id="{818EE270-CA12-4D45-B726-E940DF33C1E8}"/>
            </a:ext>
          </a:extLst>
        </xdr:cNvPr>
        <xdr:cNvSpPr>
          <a:spLocks noChangeArrowheads="1"/>
        </xdr:cNvSpPr>
      </xdr:nvSpPr>
      <xdr:spPr bwMode="auto">
        <a:xfrm>
          <a:off x="3648075" y="54787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36</xdr:row>
      <xdr:rowOff>11430</xdr:rowOff>
    </xdr:from>
    <xdr:ext cx="537455" cy="121700"/>
    <xdr:sp macro="" textlink="">
      <xdr:nvSpPr>
        <xdr:cNvPr id="10" name="WinCalLogo1">
          <a:extLst>
            <a:ext uri="{FF2B5EF4-FFF2-40B4-BE49-F238E27FC236}">
              <a16:creationId xmlns:a16="http://schemas.microsoft.com/office/drawing/2014/main" id="{21D30D04-D1CB-4EF1-974A-FB8BB7A15707}"/>
            </a:ext>
          </a:extLst>
        </xdr:cNvPr>
        <xdr:cNvSpPr>
          <a:spLocks noChangeArrowheads="1"/>
        </xdr:cNvSpPr>
      </xdr:nvSpPr>
      <xdr:spPr bwMode="auto">
        <a:xfrm>
          <a:off x="200025" y="73933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36</xdr:row>
      <xdr:rowOff>11430</xdr:rowOff>
    </xdr:from>
    <xdr:ext cx="537455" cy="121700"/>
    <xdr:sp macro="" textlink="">
      <xdr:nvSpPr>
        <xdr:cNvPr id="11" name="WinCalLogo1">
          <a:extLst>
            <a:ext uri="{FF2B5EF4-FFF2-40B4-BE49-F238E27FC236}">
              <a16:creationId xmlns:a16="http://schemas.microsoft.com/office/drawing/2014/main" id="{3920B12C-AD16-47B1-AB06-B933D8B41323}"/>
            </a:ext>
          </a:extLst>
        </xdr:cNvPr>
        <xdr:cNvSpPr>
          <a:spLocks noChangeArrowheads="1"/>
        </xdr:cNvSpPr>
      </xdr:nvSpPr>
      <xdr:spPr bwMode="auto">
        <a:xfrm>
          <a:off x="3648075" y="73933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44</xdr:row>
      <xdr:rowOff>11430</xdr:rowOff>
    </xdr:from>
    <xdr:ext cx="537455" cy="121700"/>
    <xdr:sp macro="" textlink="">
      <xdr:nvSpPr>
        <xdr:cNvPr id="12" name="WinCalLogo1">
          <a:extLst>
            <a:ext uri="{FF2B5EF4-FFF2-40B4-BE49-F238E27FC236}">
              <a16:creationId xmlns:a16="http://schemas.microsoft.com/office/drawing/2014/main" id="{57B8398B-220B-42FA-AF93-0DBF888A4DD4}"/>
            </a:ext>
          </a:extLst>
        </xdr:cNvPr>
        <xdr:cNvSpPr>
          <a:spLocks noChangeArrowheads="1"/>
        </xdr:cNvSpPr>
      </xdr:nvSpPr>
      <xdr:spPr bwMode="auto">
        <a:xfrm>
          <a:off x="200025" y="907923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44</xdr:row>
      <xdr:rowOff>11430</xdr:rowOff>
    </xdr:from>
    <xdr:ext cx="537455" cy="121700"/>
    <xdr:sp macro="" textlink="">
      <xdr:nvSpPr>
        <xdr:cNvPr id="13" name="WinCalLogo1">
          <a:extLst>
            <a:ext uri="{FF2B5EF4-FFF2-40B4-BE49-F238E27FC236}">
              <a16:creationId xmlns:a16="http://schemas.microsoft.com/office/drawing/2014/main" id="{F47DDC57-A344-40C5-A1B6-BCF3A9DF3468}"/>
            </a:ext>
          </a:extLst>
        </xdr:cNvPr>
        <xdr:cNvSpPr>
          <a:spLocks noChangeArrowheads="1"/>
        </xdr:cNvSpPr>
      </xdr:nvSpPr>
      <xdr:spPr bwMode="auto">
        <a:xfrm>
          <a:off x="3648075" y="907923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47.452620023148" createdVersion="8" refreshedVersion="8" minRefreshableVersion="3" recordCount="77" xr:uid="{D3F52401-10EC-4059-9E48-94DA64A85146}">
  <cacheSource type="worksheet">
    <worksheetSource name="Planejamento2025"/>
  </cacheSource>
  <cacheFields count="36">
    <cacheField name="ID" numFmtId="0">
      <sharedItems/>
    </cacheField>
    <cacheField name="Curso" numFmtId="0">
      <sharedItems/>
    </cacheField>
    <cacheField name="Turma" numFmtId="1">
      <sharedItems/>
    </cacheField>
    <cacheField name="Período" numFmtId="1">
      <sharedItems/>
    </cacheField>
    <cacheField name="Área" numFmtId="0">
      <sharedItems containsBlank="1"/>
    </cacheField>
    <cacheField name="Nível" numFmtId="0">
      <sharedItems containsBlank="1"/>
    </cacheField>
    <cacheField name="Professor" numFmtId="0">
      <sharedItems/>
    </cacheField>
    <cacheField name="Carga Horária" numFmtId="164">
      <sharedItems containsSemiMixedTypes="0" containsNonDate="0" containsDate="1" containsString="0" minDate="1899-12-30T08:00:00" maxDate="1900-01-05T16:00:00"/>
    </cacheField>
    <cacheField name="Seg" numFmtId="164">
      <sharedItems containsBlank="1"/>
    </cacheField>
    <cacheField name="Ter" numFmtId="164">
      <sharedItems containsBlank="1"/>
    </cacheField>
    <cacheField name="Qua" numFmtId="164">
      <sharedItems containsBlank="1"/>
    </cacheField>
    <cacheField name="Qui" numFmtId="164">
      <sharedItems containsBlank="1"/>
    </cacheField>
    <cacheField name="Sex" numFmtId="164">
      <sharedItems containsBlank="1"/>
    </cacheField>
    <cacheField name="Padrão" numFmtId="164">
      <sharedItems/>
    </cacheField>
    <cacheField name="Entrada" numFmtId="164">
      <sharedItems containsSemiMixedTypes="0" containsNonDate="0" containsDate="1" containsString="0" minDate="1899-12-30T08:00:00" maxDate="1899-12-30T19:00:00"/>
    </cacheField>
    <cacheField name="Saída" numFmtId="164">
      <sharedItems containsSemiMixedTypes="0" containsNonDate="0" containsDate="1" containsString="0" minDate="1899-12-30T12:00:00" maxDate="1899-12-30T22:00:00"/>
    </cacheField>
    <cacheField name="Carga Horária / dia" numFmtId="164">
      <sharedItems containsSemiMixedTypes="0" containsNonDate="0" containsDate="1" containsString="0" minDate="1899-12-30T01:00:00" maxDate="1899-12-30T04:30:00"/>
    </cacheField>
    <cacheField name="Dias Letivos" numFmtId="170">
      <sharedItems containsSemiMixedTypes="0" containsString="0" containsNumber="1" minValue="2.6666666666666665" maxValue="53.333333333333336"/>
    </cacheField>
    <cacheField name="Início" numFmtId="165">
      <sharedItems containsSemiMixedTypes="0" containsNonDate="0" containsDate="1" containsString="0" minDate="2025-02-10T00:00:00" maxDate="2025-12-03T00:00:00" count="52">
        <d v="2025-02-10T00:00:00"/>
        <d v="2025-02-11T00:00:00"/>
        <d v="2025-02-12T00:00:00"/>
        <d v="2025-02-13T00:00:00"/>
        <d v="2025-02-18T00:00:00"/>
        <d v="2025-03-06T00:00:00"/>
        <d v="2025-03-07T00:00:00"/>
        <d v="2025-03-10T00:00:00"/>
        <d v="2025-03-11T00:00:00"/>
        <d v="2025-03-12T00:00:00"/>
        <d v="2025-03-13T00:00:00"/>
        <d v="2025-03-27T00:00:00"/>
        <d v="2025-04-01T00:00:00"/>
        <d v="2025-04-07T00:00:00"/>
        <d v="2025-04-10T00:00:00"/>
        <d v="2025-04-22T00:00:00"/>
        <d v="2025-04-25T00:00:00"/>
        <d v="2025-04-30T00:00:00"/>
        <d v="2025-05-06T00:00:00"/>
        <d v="2025-05-13T00:00:00"/>
        <d v="2025-05-19T00:00:00"/>
        <d v="2025-05-20T00:00:00"/>
        <d v="2025-06-03T00:00:00"/>
        <d v="2025-06-17T00:00:00"/>
        <d v="2025-07-17T00:00:00"/>
        <d v="2025-07-22T00:00:00"/>
        <d v="2025-07-23T00:00:00"/>
        <d v="2025-07-24T00:00:00"/>
        <d v="2025-07-28T00:00:00"/>
        <d v="2025-07-29T00:00:00"/>
        <d v="2025-07-30T00:00:00"/>
        <d v="2025-08-05T00:00:00"/>
        <d v="2025-08-06T00:00:00"/>
        <d v="2025-08-07T00:00:00"/>
        <d v="2025-08-20T00:00:00"/>
        <d v="2025-09-02T00:00:00"/>
        <d v="2025-09-09T00:00:00"/>
        <d v="2025-09-17T00:00:00"/>
        <d v="2025-09-30T00:00:00"/>
        <d v="2025-10-01T00:00:00"/>
        <d v="2025-10-07T00:00:00"/>
        <d v="2025-10-10T00:00:00"/>
        <d v="2025-10-14T00:00:00"/>
        <d v="2025-10-28T00:00:00"/>
        <d v="2025-10-30T00:00:00"/>
        <d v="2025-11-04T00:00:00"/>
        <d v="2025-11-25T00:00:00"/>
        <d v="2025-12-02T00:00:00"/>
        <d v="2025-10-21T00:00:00" u="1"/>
        <d v="2025-10-08T00:00:00" u="1"/>
        <d v="2025-10-31T00:00:00" u="1"/>
        <d v="2025-09-16T00:00:00" u="1"/>
      </sharedItems>
      <fieldGroup par="33"/>
    </cacheField>
    <cacheField name="Fim" numFmtId="165">
      <sharedItems containsSemiMixedTypes="0" containsNonDate="0" containsDate="1" containsString="0" minDate="2025-02-14T00:00:00" maxDate="2025-12-21T00:00:00" count="66">
        <d v="2025-02-14T00:00:00"/>
        <d v="2025-06-24T00:00:00"/>
        <d v="2025-06-25T00:00:00"/>
        <d v="2025-02-26T00:00:00"/>
        <d v="2025-05-06T00:00:00"/>
        <d v="2025-04-23T00:00:00"/>
        <d v="2025-05-14T00:00:00"/>
        <d v="2025-06-12T00:00:00"/>
        <d v="2025-06-26T00:00:00"/>
        <d v="2025-02-28T00:00:00"/>
        <d v="2025-07-31T00:00:00"/>
        <d v="2025-08-13T00:00:00"/>
        <d v="2025-03-18T00:00:00"/>
        <d v="2025-03-26T00:00:00"/>
        <d v="2025-05-28T00:00:00"/>
        <d v="2025-03-25T00:00:00"/>
        <d v="2025-04-15T00:00:00"/>
        <d v="2025-08-21T00:00:00"/>
        <d v="2025-09-05T00:00:00"/>
        <d v="2025-11-19T00:00:00"/>
        <d v="2025-08-06T00:00:00"/>
        <d v="2025-06-04T00:00:00"/>
        <d v="2025-06-05T00:00:00"/>
        <d v="2025-05-27T00:00:00"/>
        <d v="2025-10-30T00:00:00"/>
        <d v="2025-06-17T00:00:00"/>
        <d v="2025-11-18T00:00:00"/>
        <d v="2025-09-02T00:00:00"/>
        <d v="2025-12-09T00:00:00"/>
        <d v="2025-12-10T00:00:00"/>
        <d v="2025-12-11T00:00:00"/>
        <d v="2025-08-26T00:00:00"/>
        <d v="2025-09-17T00:00:00"/>
        <d v="2025-11-25T00:00:00"/>
        <d v="2025-11-05T00:00:00"/>
        <d v="2025-11-04T00:00:00"/>
        <d v="2025-08-20T00:00:00"/>
        <d v="2025-10-09T00:00:00"/>
        <d v="2025-11-26T00:00:00"/>
        <d v="2025-10-10T00:00:00"/>
        <d v="2025-10-23T00:00:00"/>
        <d v="2025-11-28T00:00:00"/>
        <d v="2025-10-14T00:00:00"/>
        <d v="2025-10-22T00:00:00"/>
        <d v="2025-10-28T00:00:00"/>
        <d v="2025-10-29T00:00:00"/>
        <d v="2025-12-04T00:00:00"/>
        <d v="2025-06-23T00:00:00" u="1"/>
        <d v="2025-08-14T00:00:00" u="1"/>
        <d v="2025-10-27T00:00:00" u="1"/>
        <d v="2025-09-23T00:00:00" u="1"/>
        <d v="2025-11-14T00:00:00" u="1"/>
        <d v="2025-08-28T00:00:00" u="1"/>
        <d v="2025-09-26T00:00:00" u="1"/>
        <d v="2025-08-05T00:00:00" u="1"/>
        <d v="2025-12-20T00:00:00" u="1"/>
        <d v="2025-08-27T00:00:00" u="1"/>
        <d v="2025-08-22T00:00:00" u="1"/>
        <d v="2025-06-10T00:00:00" u="1"/>
        <d v="2025-11-27T00:00:00" u="1"/>
        <d v="2025-12-17T00:00:00" u="1"/>
        <d v="2025-12-19T00:00:00" u="1"/>
        <d v="2025-12-16T00:00:00" u="1"/>
        <d v="2025-09-09T00:00:00" u="1"/>
        <d v="2025-10-08T00:00:00" u="1"/>
        <d v="2025-12-03T00:00:00" u="1"/>
      </sharedItems>
      <fieldGroup par="35"/>
    </cacheField>
    <cacheField name="Público" numFmtId="0">
      <sharedItems/>
    </cacheField>
    <cacheField name="Capac. Máx." numFmtId="0">
      <sharedItems containsString="0" containsBlank="1" containsNumber="1" containsInteger="1" minValue="14" maxValue="40"/>
    </cacheField>
    <cacheField name="Valor/ Hora" numFmtId="44">
      <sharedItems containsBlank="1" containsMixedTypes="1" containsNumber="1" minValue="0" maxValue="55"/>
    </cacheField>
    <cacheField name="Valor Previsto" numFmtId="44">
      <sharedItems containsMixedTypes="1" containsNumber="1" minValue="0" maxValue="12896.25"/>
    </cacheField>
    <cacheField name="Contribuição" numFmtId="44">
      <sharedItems containsString="0" containsBlank="1" containsNumber="1" containsInteger="1" minValue="0" maxValue="600"/>
    </cacheField>
    <cacheField name="Valor RH" numFmtId="44">
      <sharedItems containsString="0" containsBlank="1" containsNumber="1" minValue="0" maxValue="7552.5"/>
    </cacheField>
    <cacheField name="Valor Insumo" numFmtId="44">
      <sharedItems containsSemiMixedTypes="0" containsString="0" containsNumber="1" minValue="0" maxValue="767.87"/>
    </cacheField>
    <cacheField name="Status" numFmtId="44">
      <sharedItems/>
    </cacheField>
    <cacheField name="Fonte Pagadora" numFmtId="0">
      <sharedItems containsBlank="1" count="6">
        <s v="SENAI"/>
        <s v="Anna de Moura"/>
        <s v="SEBRAE"/>
        <s v="Prefeitura de Mogi"/>
        <s v="SEBRAE - SENAI" u="1"/>
        <m u="1"/>
      </sharedItems>
    </cacheField>
    <cacheField name="Certificação" numFmtId="0">
      <sharedItems containsBlank="1" count="6">
        <s v="SENAI"/>
        <s v="Anna de Moura"/>
        <s v="SEBRAE/SENAI"/>
        <s v="Prefeitura de Mogi"/>
        <s v="SEBRAE - SENAI" u="1"/>
        <m u="1"/>
      </sharedItems>
    </cacheField>
    <cacheField name="Tipo de Contrato" numFmtId="0">
      <sharedItems/>
    </cacheField>
    <cacheField name="Coluna1" numFmtId="0">
      <sharedItems containsBlank="1"/>
    </cacheField>
    <cacheField name="Dias (Início)" numFmtId="0" databaseField="0">
      <fieldGroup base="18">
        <rangePr groupBy="days" startDate="2025-02-10T00:00:00" endDate="2025-12-03T00:00:00"/>
        <groupItems count="368">
          <s v="&lt;10/02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3/12/2025"/>
        </groupItems>
      </fieldGroup>
    </cacheField>
    <cacheField name="Meses (Início)" numFmtId="0" databaseField="0">
      <fieldGroup base="18">
        <rangePr groupBy="months" startDate="2025-02-10T00:00:00" endDate="2025-12-03T00:00:00"/>
        <groupItems count="14">
          <s v="&lt;10/02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3/12/2025"/>
        </groupItems>
      </fieldGroup>
    </cacheField>
    <cacheField name="Dias (Fim)" numFmtId="0" databaseField="0">
      <fieldGroup base="19">
        <rangePr groupBy="days" startDate="2025-02-14T00:00:00" endDate="2025-12-12T00:00:00"/>
        <groupItems count="368">
          <s v="&lt;14/02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2/12/2025"/>
        </groupItems>
      </fieldGroup>
    </cacheField>
    <cacheField name="Meses (Fim)" numFmtId="0" databaseField="0">
      <fieldGroup base="19">
        <rangePr groupBy="months" startDate="2025-02-14T00:00:00" endDate="2025-12-12T00:00:00"/>
        <groupItems count="14">
          <s v="&lt;14/02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2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">
  <r>
    <s v="PetFou_T1"/>
    <s v="Petit Four (Doce e Salgado)"/>
    <s v="T1"/>
    <s v="Manhã"/>
    <s v="Alimentos"/>
    <s v="Aperfeiçoamento Profissional Profissional"/>
    <s v="Patricia Turetti"/>
    <d v="1899-12-30T20:00:00"/>
    <s v="x"/>
    <s v="x"/>
    <s v="x"/>
    <s v="x"/>
    <s v="x"/>
    <s v="0000011"/>
    <d v="1899-12-30T08:00:00"/>
    <d v="1899-12-30T12:00:00"/>
    <d v="1899-12-30T04:00:00"/>
    <n v="5"/>
    <x v="0"/>
    <x v="0"/>
    <s v="(+) 18"/>
    <n v="16"/>
    <n v="0"/>
    <s v="R$ 0,00"/>
    <n v="0"/>
    <n v="0"/>
    <n v="0"/>
    <s v="Finalizado"/>
    <x v="0"/>
    <x v="0"/>
    <s v="Gratuidade"/>
    <m/>
  </r>
  <r>
    <s v="AuxAdm_T1"/>
    <s v="Auxiliar Administrativo"/>
    <s v="T1"/>
    <s v="Noite"/>
    <s v="Gestão"/>
    <s v="Qualificação Profissional Profissional"/>
    <s v="Ronaldo Moro"/>
    <d v="1900-01-05T16:00:00"/>
    <m/>
    <s v="x"/>
    <s v="x"/>
    <s v="x"/>
    <m/>
    <s v="1000111"/>
    <d v="1899-12-30T19:00:00"/>
    <d v="1899-12-30T22:00:00"/>
    <d v="1899-12-30T03:00:00"/>
    <n v="53.333333333333336"/>
    <x v="1"/>
    <x v="1"/>
    <s v="(+) 16"/>
    <n v="32"/>
    <n v="47.5"/>
    <n v="7600"/>
    <n v="0"/>
    <n v="7552.5"/>
    <n v="0"/>
    <s v="Finalizado"/>
    <x v="1"/>
    <x v="0"/>
    <s v="Convênio"/>
    <m/>
  </r>
  <r>
    <s v="LidGes_T1"/>
    <s v="Liderança Gestão Estratégica de Equipes"/>
    <s v="T1"/>
    <s v="Noite"/>
    <s v="Gestão"/>
    <s v="Aperfeiçoamento Profissional"/>
    <s v="Ana Flavia Eilliar Bianchini"/>
    <d v="1900-01-05T16:00:00"/>
    <m/>
    <s v="x"/>
    <s v="x"/>
    <s v="x"/>
    <m/>
    <s v="1000111"/>
    <d v="1899-12-30T19:00:00"/>
    <d v="1899-12-30T22:00:00"/>
    <d v="1899-12-30T03:00:00"/>
    <n v="53.333333333333336"/>
    <x v="1"/>
    <x v="2"/>
    <s v="(+) 18"/>
    <n v="32"/>
    <n v="47.5"/>
    <n v="7600"/>
    <n v="0"/>
    <n v="7552.5"/>
    <n v="0"/>
    <s v="Finalizado"/>
    <x v="1"/>
    <x v="0"/>
    <s v="Convênio"/>
    <m/>
  </r>
  <r>
    <s v="SorArt_T1"/>
    <s v="Sorvetes Artesanais"/>
    <s v="T1"/>
    <s v="Noite"/>
    <s v="Alimentos"/>
    <s v="Iniciação Profissional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1"/>
    <x v="3"/>
    <s v="(+) 18"/>
    <n v="18"/>
    <n v="47.5"/>
    <n v="855"/>
    <n v="540"/>
    <n v="855"/>
    <n v="244.77"/>
    <s v="Finalizado"/>
    <x v="1"/>
    <x v="1"/>
    <s v="Anna de Moura"/>
    <m/>
  </r>
  <r>
    <s v="PacOff_T1"/>
    <s v="Pacote Office"/>
    <s v="T1"/>
    <s v="Noite"/>
    <s v="Tecnologia da Informação"/>
    <s v="Aperfeiçoamento Profissional"/>
    <s v="Ronaldo Borba"/>
    <d v="1900-01-03T00:00:00"/>
    <m/>
    <s v="x"/>
    <s v="x"/>
    <s v="x"/>
    <m/>
    <s v="1000111"/>
    <d v="1899-12-30T19:00:00"/>
    <d v="1899-12-30T22:00:00"/>
    <d v="1899-12-30T03:00:00"/>
    <n v="32"/>
    <x v="1"/>
    <x v="4"/>
    <s v="(+) 18"/>
    <n v="16"/>
    <n v="47.5"/>
    <n v="4560"/>
    <n v="0"/>
    <n v="4560"/>
    <n v="0"/>
    <s v="Finalizado"/>
    <x v="1"/>
    <x v="0"/>
    <s v="Convênio"/>
    <m/>
  </r>
  <r>
    <s v="InfBás_T1"/>
    <s v="Informática Básica"/>
    <s v="T1"/>
    <s v="Noite"/>
    <s v="Tecnologia da Informação"/>
    <s v="Iniciação Profissional"/>
    <s v="Robson da Silva Gonçalves"/>
    <d v="1900-01-01T12:00:00"/>
    <m/>
    <s v="x"/>
    <s v="x"/>
    <m/>
    <m/>
    <s v="1001111"/>
    <d v="1899-12-30T19:00:00"/>
    <d v="1899-12-30T22:00:00"/>
    <d v="1899-12-30T03:00:00"/>
    <n v="20"/>
    <x v="1"/>
    <x v="5"/>
    <s v="(+) 18"/>
    <n v="14"/>
    <n v="47.5"/>
    <n v="2850"/>
    <n v="0"/>
    <n v="2850"/>
    <n v="0"/>
    <s v="Finalizado"/>
    <x v="1"/>
    <x v="0"/>
    <s v="Convênio"/>
    <m/>
  </r>
  <r>
    <s v="Ing _T1"/>
    <s v="Inglês"/>
    <s v="T1"/>
    <s v="Noite"/>
    <s v="Idiomas"/>
    <s v="Iniciação Profissional"/>
    <s v="Wanderly Francisca Nepomuceno"/>
    <d v="1900-01-02T08:00:00"/>
    <m/>
    <s v="x"/>
    <s v="x"/>
    <m/>
    <m/>
    <s v="1001111"/>
    <d v="1899-12-30T19:00:00"/>
    <d v="1899-12-30T22:00:00"/>
    <d v="1899-12-30T03:00:00"/>
    <n v="26.666666666666668"/>
    <x v="1"/>
    <x v="6"/>
    <s v="(+) 16"/>
    <n v="32"/>
    <n v="47.5"/>
    <n v="3800"/>
    <n v="0"/>
    <n v="3705"/>
    <n v="0"/>
    <s v="Finalizado"/>
    <x v="1"/>
    <x v="1"/>
    <s v="Anna de Moura"/>
    <m/>
  </r>
  <r>
    <s v="Gin _T1"/>
    <s v="Ginastica"/>
    <s v="T1"/>
    <s v="Tarde"/>
    <s v="Beleza e Saúde"/>
    <s v="Iniciação Profissional"/>
    <s v="Ingrid de Assis"/>
    <d v="1899-12-30T19:00:00"/>
    <m/>
    <m/>
    <s v="x"/>
    <m/>
    <m/>
    <s v="1101111"/>
    <d v="1899-12-30T17:00:00"/>
    <d v="1899-12-30T18:00:00"/>
    <d v="1899-12-30T01:00:00"/>
    <n v="19.000000000000014"/>
    <x v="2"/>
    <x v="2"/>
    <s v="(+) 18"/>
    <n v="30"/>
    <n v="55"/>
    <n v="1045"/>
    <m/>
    <n v="990"/>
    <n v="0"/>
    <s v="Finalizado"/>
    <x v="1"/>
    <x v="1"/>
    <s v="Anna de Moura"/>
    <m/>
  </r>
  <r>
    <s v="Tea _T1"/>
    <s v="Teatro"/>
    <s v="T1"/>
    <s v="Noite"/>
    <s v="Arte e Cultura"/>
    <s v="Iniciação Profissional"/>
    <s v="Karina Stolemberger"/>
    <d v="1899-12-31T16:00:00"/>
    <m/>
    <m/>
    <s v="x"/>
    <m/>
    <m/>
    <s v="1101111"/>
    <d v="1899-12-30T19:00:00"/>
    <d v="1899-12-30T21:00:00"/>
    <d v="1899-12-30T02:00:00"/>
    <n v="19.999999999999993"/>
    <x v="2"/>
    <x v="2"/>
    <s v="(+) 14"/>
    <n v="25"/>
    <n v="47.5"/>
    <n v="1900"/>
    <n v="0"/>
    <n v="1805"/>
    <n v="0"/>
    <s v="Finalizado"/>
    <x v="1"/>
    <x v="1"/>
    <s v="Anna de Moura"/>
    <m/>
  </r>
  <r>
    <s v="InfBás_T2"/>
    <s v="Informática Básica"/>
    <s v="T2"/>
    <s v="Tarde"/>
    <s v="Tecnologia da Informação"/>
    <s v="Iniciação Profissional"/>
    <s v="Eliane Aparecida dos Santos Lima"/>
    <d v="1899-12-31T16:00:00"/>
    <m/>
    <m/>
    <m/>
    <s v="x"/>
    <m/>
    <s v="1110111"/>
    <d v="1899-12-30T14:30:00"/>
    <d v="1899-12-30T17:00:00"/>
    <d v="1899-12-30T02:30:00"/>
    <n v="15.999999999999989"/>
    <x v="3"/>
    <x v="7"/>
    <s v="(+) 50"/>
    <n v="14"/>
    <n v="0"/>
    <n v="0"/>
    <n v="0"/>
    <n v="0"/>
    <n v="0"/>
    <s v="Finalizado"/>
    <x v="1"/>
    <x v="1"/>
    <s v="Anna de Moura"/>
    <m/>
  </r>
  <r>
    <s v="Fut _T1"/>
    <s v="Futsal"/>
    <s v="T1"/>
    <s v="Tarde"/>
    <s v="Esporte"/>
    <s v="Iniciação Profissional"/>
    <s v="Agatha Cristina dos Santos Marcondes"/>
    <d v="1899-12-31T10:00:00"/>
    <m/>
    <m/>
    <m/>
    <s v="x"/>
    <m/>
    <s v="1110111"/>
    <d v="1899-12-30T16:00:00"/>
    <d v="1899-12-30T18:00:00"/>
    <d v="1899-12-30T02:00:00"/>
    <n v="16.999999999999993"/>
    <x v="3"/>
    <x v="8"/>
    <s v="13-14"/>
    <n v="25"/>
    <n v="47.5"/>
    <n v="1615"/>
    <n v="0"/>
    <n v="1615"/>
    <n v="0"/>
    <s v="Finalizado"/>
    <x v="1"/>
    <x v="1"/>
    <s v="Anna de Moura"/>
    <m/>
  </r>
  <r>
    <s v="Fut _T2"/>
    <s v="Futsal"/>
    <s v="T2"/>
    <s v="Noite"/>
    <s v="Esporte"/>
    <s v="Iniciação Profissional"/>
    <s v="Agatha Cristina dos Santos Marcondes"/>
    <d v="1899-12-31T10:00:00"/>
    <m/>
    <m/>
    <m/>
    <s v="x"/>
    <m/>
    <s v="1110111"/>
    <d v="1899-12-30T19:00:00"/>
    <d v="1899-12-30T21:00:00"/>
    <d v="1899-12-30T02:00:00"/>
    <n v="16.999999999999993"/>
    <x v="3"/>
    <x v="8"/>
    <s v="15 - 16 -17"/>
    <n v="25"/>
    <n v="47.5"/>
    <n v="1615"/>
    <n v="0"/>
    <n v="1615"/>
    <n v="0"/>
    <s v="Finalizado"/>
    <x v="1"/>
    <x v="1"/>
    <s v="Anna de Moura"/>
    <m/>
  </r>
  <r>
    <s v="Man _T1"/>
    <s v="Manicure"/>
    <s v="T1"/>
    <s v="Tarde"/>
    <s v="Beleza e Saúde"/>
    <s v="Iniciação Profissional"/>
    <s v="Irene Stephani"/>
    <d v="1899-12-31T06:00:00"/>
    <m/>
    <s v="x"/>
    <m/>
    <m/>
    <m/>
    <s v="1011111"/>
    <d v="1899-12-30T14:00:00"/>
    <d v="1899-12-30T17:00:00"/>
    <d v="1899-12-30T03:00:00"/>
    <n v="10"/>
    <x v="4"/>
    <x v="4"/>
    <s v="(+) 18"/>
    <n v="20"/>
    <n v="47.5"/>
    <n v="1425"/>
    <n v="600"/>
    <n v="1520"/>
    <n v="0"/>
    <s v="Finalizado"/>
    <x v="1"/>
    <x v="1"/>
    <s v="Anna de Moura"/>
    <m/>
  </r>
  <r>
    <s v="Lid _T1"/>
    <s v="Liderança"/>
    <s v="T1"/>
    <s v="Tarde"/>
    <s v="Gestão"/>
    <s v="Aperfeiçoamento Profissional"/>
    <s v="Edilson Rosa"/>
    <d v="1899-12-31T00:00:00"/>
    <s v="x"/>
    <s v="x"/>
    <s v="x"/>
    <s v="x"/>
    <m/>
    <s v="0000111"/>
    <d v="1899-12-30T14:00:00"/>
    <d v="1899-12-30T17:00:00"/>
    <d v="1899-12-30T03:00:00"/>
    <n v="8"/>
    <x v="4"/>
    <x v="9"/>
    <s v="(+) 16"/>
    <n v="20"/>
    <n v="0"/>
    <s v="R$ 0,00"/>
    <n v="0"/>
    <n v="0"/>
    <n v="0"/>
    <s v="Finalizado"/>
    <x v="0"/>
    <x v="0"/>
    <s v="Gratuidade"/>
    <m/>
  </r>
  <r>
    <s v="EleIns_T1"/>
    <s v="Eletricista Instalador"/>
    <s v="T1"/>
    <s v="Tarde"/>
    <s v="Eletroeletrônica - Eletricidade"/>
    <s v="Qualificação Profissional"/>
    <s v="Edilson Rosa"/>
    <d v="1900-01-05T16:00:00"/>
    <m/>
    <s v="x"/>
    <m/>
    <s v="x"/>
    <m/>
    <s v="1010111"/>
    <d v="1899-12-30T13:00:00"/>
    <d v="1899-12-30T17:30:00"/>
    <d v="1899-12-30T04:30:00"/>
    <n v="35.555555555555557"/>
    <x v="5"/>
    <x v="10"/>
    <s v="(+18)"/>
    <n v="16"/>
    <s v="-"/>
    <s v="R$ 0,00"/>
    <n v="0"/>
    <n v="0"/>
    <n v="0"/>
    <s v="Em andamento"/>
    <x v="0"/>
    <x v="0"/>
    <s v="Gratuidade"/>
    <m/>
  </r>
  <r>
    <s v="Op_Micro_T1"/>
    <s v="Operador de Micro"/>
    <s v="T1"/>
    <s v="Tarde"/>
    <s v="Tecnologia da Informação"/>
    <s v="Qualificação Profissional"/>
    <s v="Cássio / Ismael"/>
    <d v="1900-01-05T16:00:00"/>
    <s v="x"/>
    <m/>
    <s v="x"/>
    <m/>
    <s v="x"/>
    <s v="0101011"/>
    <d v="1899-12-30T14:00:00"/>
    <d v="1899-12-30T17:00:00"/>
    <d v="1899-12-30T03:00:00"/>
    <n v="53.333333333333336"/>
    <x v="6"/>
    <x v="11"/>
    <s v="(+) 16"/>
    <n v="14"/>
    <s v="-"/>
    <s v="R$ 0,00"/>
    <n v="0"/>
    <n v="0"/>
    <n v="0"/>
    <s v="Em andamento"/>
    <x v="0"/>
    <x v="0"/>
    <s v="Gratuidade"/>
    <m/>
  </r>
  <r>
    <s v="Cup_Bolo_T1"/>
    <s v="Aprenda a Fabricar e Vender Cupcakes e Bolos Caseiros"/>
    <s v="T1"/>
    <s v="Tarde"/>
    <s v="Alimentos"/>
    <s v="Aperfeiçoamento Profissional"/>
    <s v="Patricia Turetti"/>
    <d v="1899-12-31T04:00:00"/>
    <s v="x"/>
    <s v="x"/>
    <s v="x"/>
    <s v="x"/>
    <s v="x"/>
    <s v="0000011"/>
    <d v="1899-12-30T13:30:00"/>
    <d v="1899-12-30T17:30:00"/>
    <d v="1899-12-30T04:00:00"/>
    <n v="7.0000000000000018"/>
    <x v="7"/>
    <x v="12"/>
    <s v="(+) 18"/>
    <n v="16"/>
    <s v="-"/>
    <s v="R$ 0,00"/>
    <n v="0"/>
    <n v="0"/>
    <n v="0"/>
    <s v="Finalizado"/>
    <x v="2"/>
    <x v="2"/>
    <s v="SEBRAE / SENAI"/>
    <m/>
  </r>
  <r>
    <s v="PãeEsp_T1"/>
    <s v="Pães Especiais"/>
    <s v="T1"/>
    <s v="Noite"/>
    <s v="Alimentos"/>
    <s v="Iniciaçã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8"/>
    <x v="13"/>
    <s v="(+) 18"/>
    <n v="18"/>
    <n v="47.5"/>
    <n v="855"/>
    <n v="510"/>
    <n v="855"/>
    <n v="515.84"/>
    <s v="Finalizado"/>
    <x v="1"/>
    <x v="1"/>
    <s v="Anna de Moura"/>
    <m/>
  </r>
  <r>
    <s v="PacOff_T2"/>
    <s v="Pacote Office"/>
    <s v="T2"/>
    <s v="Tarde"/>
    <s v="Tecnologia da Informação"/>
    <s v="Aperfeiçoamento Profissional"/>
    <s v="Ronaldo Borba"/>
    <d v="1900-01-03T00:00:00"/>
    <m/>
    <s v="x"/>
    <s v="x"/>
    <s v="x"/>
    <m/>
    <s v="1000111"/>
    <d v="1899-12-30T15:00:00"/>
    <d v="1899-12-30T18:00:00"/>
    <d v="1899-12-30T03:00:00"/>
    <n v="32"/>
    <x v="8"/>
    <x v="14"/>
    <s v="15 a 17"/>
    <n v="16"/>
    <n v="47.5"/>
    <n v="4560"/>
    <m/>
    <n v="4560"/>
    <n v="0"/>
    <s v="Finalizado"/>
    <x v="1"/>
    <x v="0"/>
    <s v="Convênio"/>
    <m/>
  </r>
  <r>
    <s v="Ban _T1"/>
    <s v="Banda"/>
    <s v="T1"/>
    <s v="Noite"/>
    <m/>
    <m/>
    <s v="Edmilton / Juliana / Rafael"/>
    <d v="1899-12-31T08:00:00"/>
    <m/>
    <s v="x"/>
    <m/>
    <m/>
    <m/>
    <s v="1011111"/>
    <d v="1899-12-30T19:00:00"/>
    <d v="1899-12-30T21:00:00"/>
    <d v="1899-12-30T02:00:00"/>
    <n v="15.999999999999993"/>
    <x v="8"/>
    <x v="1"/>
    <s v="Entre 14 e 18 anos"/>
    <n v="40"/>
    <m/>
    <n v="12896.25"/>
    <m/>
    <n v="7037.92"/>
    <n v="0"/>
    <s v="Finalizado"/>
    <x v="1"/>
    <x v="1"/>
    <s v="Anna de Moura"/>
    <m/>
  </r>
  <r>
    <s v="Ajust_Ref_T1"/>
    <s v="Aprenda a Ajustar e Reformar Roupas"/>
    <s v="T1"/>
    <s v="Manhã"/>
    <s v="Moda"/>
    <s v="Aperfeiçoamento Profissional"/>
    <s v="Ana Carolina Pereira Araujo"/>
    <d v="1899-12-31T12:00:00"/>
    <s v="x"/>
    <s v="x"/>
    <s v="x"/>
    <s v="x"/>
    <s v="x"/>
    <s v="0000011"/>
    <d v="1899-12-30T08:00:00"/>
    <d v="1899-12-30T12:00:00"/>
    <d v="1899-12-30T04:00:00"/>
    <n v="8.9999999999999982"/>
    <x v="9"/>
    <x v="15"/>
    <s v="(+) 18"/>
    <n v="16"/>
    <n v="47.5"/>
    <s v="R$ 0,00"/>
    <m/>
    <n v="0"/>
    <n v="0"/>
    <s v="Finalizado"/>
    <x v="2"/>
    <x v="2"/>
    <s v="SEBRAE / SENAI"/>
    <m/>
  </r>
  <r>
    <s v="Ing _T2"/>
    <s v="Inglês"/>
    <s v="T2"/>
    <s v="Tarde"/>
    <s v="Idiomas"/>
    <s v="Iniciação Profissional"/>
    <s v="Wanderly Francisca Nepomuceno"/>
    <d v="1899-12-31T13:00:00"/>
    <m/>
    <m/>
    <m/>
    <s v="x"/>
    <m/>
    <s v="1110111"/>
    <d v="1899-12-30T15:00:00"/>
    <d v="1899-12-30T18:00:00"/>
    <d v="1899-12-30T03:00:00"/>
    <n v="12.333333333333334"/>
    <x v="10"/>
    <x v="8"/>
    <s v="(+) 14"/>
    <n v="32"/>
    <n v="47.5"/>
    <n v="1757.5"/>
    <m/>
    <n v="1852.5"/>
    <n v="0"/>
    <s v="Finalizado"/>
    <x v="1"/>
    <x v="1"/>
    <s v="Anna de Moura"/>
    <m/>
  </r>
  <r>
    <s v="Cost_Maq_T1"/>
    <s v="Costureiro de Máquina Reta e Overloque"/>
    <s v="T1"/>
    <s v="Manhã"/>
    <s v="Moda"/>
    <s v="Qualificação Profissional"/>
    <s v="Ana Carolina Pereira Araujo"/>
    <d v="1900-01-05T16:00:00"/>
    <s v="x"/>
    <s v="x"/>
    <s v="x"/>
    <s v="x"/>
    <s v="x"/>
    <s v="0000011"/>
    <d v="1899-12-30T08:00:00"/>
    <d v="1899-12-30T12:00:00"/>
    <d v="1899-12-30T04:00:00"/>
    <n v="40"/>
    <x v="11"/>
    <x v="14"/>
    <s v="(+) 18"/>
    <n v="16"/>
    <n v="47.5"/>
    <s v="R$ 0,00"/>
    <m/>
    <n v="0"/>
    <n v="0"/>
    <s v="Finalizado"/>
    <x v="0"/>
    <x v="0"/>
    <s v="Gratuidade"/>
    <m/>
  </r>
  <r>
    <s v="Cost_Maq_T2"/>
    <s v="Costureiro de Máquina Reta e Overloque"/>
    <s v="T2"/>
    <s v="Tarde"/>
    <s v="Moda"/>
    <s v="Qualificação Profissional"/>
    <s v="Ana Carolina Pereira Araujo"/>
    <d v="1900-01-05T16:00:00"/>
    <s v="x"/>
    <s v="x"/>
    <s v="x"/>
    <s v="x"/>
    <s v="x"/>
    <s v="0000011"/>
    <d v="1899-12-30T13:00:00"/>
    <d v="1899-12-30T17:00:00"/>
    <d v="1899-12-30T04:00:00"/>
    <n v="39.999999999999986"/>
    <x v="11"/>
    <x v="14"/>
    <s v="(+) 18"/>
    <n v="16"/>
    <n v="47.5"/>
    <s v="R$ 0,00"/>
    <m/>
    <n v="0"/>
    <n v="0"/>
    <s v="Finalizado"/>
    <x v="0"/>
    <x v="0"/>
    <s v="Gratuidade"/>
    <m/>
  </r>
  <r>
    <s v="MasFol_T1"/>
    <s v="Massas Folhada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2"/>
    <x v="16"/>
    <s v="(+) 18"/>
    <n v="16"/>
    <n v="47.5"/>
    <n v="712.5"/>
    <n v="390"/>
    <n v="712.5"/>
    <n v="767.87"/>
    <s v="Finalizado"/>
    <x v="1"/>
    <x v="1"/>
    <s v="Anna de Moura"/>
    <m/>
  </r>
  <r>
    <s v="ExcBás_T1"/>
    <s v="Excel Básico"/>
    <s v="T1"/>
    <s v="Manhã"/>
    <s v="Tecnologia da Informação"/>
    <s v="Aperfeiçoamento Profissional"/>
    <s v="Cassio Portugal Melo"/>
    <d v="1899-12-31T16:00:00"/>
    <s v="x"/>
    <m/>
    <m/>
    <m/>
    <m/>
    <s v="0111111"/>
    <d v="1899-12-30T08:00:00"/>
    <d v="1899-12-30T12:00:00"/>
    <d v="1899-12-30T04:00:00"/>
    <n v="10"/>
    <x v="13"/>
    <x v="2"/>
    <s v="(+) 15"/>
    <n v="16"/>
    <m/>
    <s v="R$ 0,00"/>
    <m/>
    <n v="0"/>
    <n v="0"/>
    <s v="Finalizado"/>
    <x v="0"/>
    <x v="0"/>
    <s v="Gratuidade"/>
    <m/>
  </r>
  <r>
    <s v="PlaCon_T1"/>
    <s v="Planejamento Controle de Produção"/>
    <s v="T1"/>
    <s v="Tarde"/>
    <s v="Gestão"/>
    <s v="Aperfeiçoamento Profissional"/>
    <s v="Renato"/>
    <d v="1899-12-31T16:00:00"/>
    <m/>
    <m/>
    <m/>
    <s v="x"/>
    <m/>
    <s v="1110111"/>
    <d v="1899-12-30T14:00:00"/>
    <d v="1899-12-30T17:00:00"/>
    <d v="1899-12-30T03:00:00"/>
    <n v="13.333333333333334"/>
    <x v="14"/>
    <x v="17"/>
    <s v="(+) 16"/>
    <n v="16"/>
    <m/>
    <s v="R$ 0,00"/>
    <n v="0"/>
    <n v="0"/>
    <n v="0"/>
    <s v="Em andamento"/>
    <x v="0"/>
    <x v="0"/>
    <s v="Gratuidade"/>
    <m/>
  </r>
  <r>
    <s v="Caf _T1"/>
    <s v="Cafeteria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5"/>
    <x v="4"/>
    <s v="(+) 18"/>
    <n v="16"/>
    <n v="47.5"/>
    <n v="712.5"/>
    <n v="480"/>
    <n v="712.5"/>
    <n v="247.09"/>
    <s v="Finalizado"/>
    <x v="1"/>
    <x v="1"/>
    <s v="Anna de Moura"/>
    <m/>
  </r>
  <r>
    <s v="PacOff_T3"/>
    <s v="Pacote Office"/>
    <s v="T3"/>
    <s v="Tarde"/>
    <s v="Tecnologia da Informação"/>
    <s v="Aperfeiçoamento Profissional"/>
    <s v="Anderson / Marcelo"/>
    <d v="1900-01-03T00:00:00"/>
    <s v="x"/>
    <m/>
    <m/>
    <m/>
    <s v="x"/>
    <s v="0111011"/>
    <d v="1899-12-30T14:00:00"/>
    <d v="1899-12-30T17:00:00"/>
    <d v="1899-12-30T03:00:00"/>
    <n v="32"/>
    <x v="16"/>
    <x v="18"/>
    <s v="(+) 16"/>
    <n v="16"/>
    <m/>
    <s v="R$ 0,00"/>
    <m/>
    <n v="0"/>
    <n v="0"/>
    <s v="Em andamento"/>
    <x v="0"/>
    <x v="0"/>
    <s v="Gratuidade"/>
    <m/>
  </r>
  <r>
    <s v="AuxAdm_T2"/>
    <s v="Auxiliar Administrativo"/>
    <s v="T2"/>
    <s v="Tarde"/>
    <s v="Gestão"/>
    <s v="Qualificação Profissional"/>
    <s v="Cátia Silva"/>
    <d v="1900-01-05T16:00:00"/>
    <m/>
    <m/>
    <s v="x"/>
    <m/>
    <s v="x"/>
    <s v="1101011"/>
    <d v="1899-12-30T14:00:00"/>
    <d v="1899-12-30T17:00:00"/>
    <d v="1899-12-30T03:00:00"/>
    <n v="53.333333333333336"/>
    <x v="17"/>
    <x v="19"/>
    <s v="(+) 16"/>
    <n v="19"/>
    <s v="-"/>
    <s v="R$ 0,00"/>
    <m/>
    <n v="0"/>
    <n v="0"/>
    <s v="Em andamento"/>
    <x v="0"/>
    <x v="0"/>
    <s v="Gratuidade"/>
    <m/>
  </r>
  <r>
    <s v="EscLid_T1"/>
    <s v="Escola de Líderes"/>
    <s v="T1"/>
    <s v="Noite"/>
    <s v="Gestão"/>
    <s v="Iniciação Profissional"/>
    <s v="Crescer - Pref."/>
    <d v="1900-01-04T06:00:00"/>
    <m/>
    <s v="x"/>
    <s v="x"/>
    <s v="x"/>
    <m/>
    <s v="1000111"/>
    <d v="1899-12-30T18:00:00"/>
    <d v="1899-12-30T21:00:00"/>
    <d v="1899-12-30T03:00:00"/>
    <n v="42"/>
    <x v="18"/>
    <x v="20"/>
    <s v="15 a 24"/>
    <n v="25"/>
    <s v="-"/>
    <s v="R$ 0,00"/>
    <m/>
    <n v="0"/>
    <n v="0"/>
    <s v="Em andamento"/>
    <x v="3"/>
    <x v="3"/>
    <s v="Outros"/>
    <m/>
  </r>
  <r>
    <s v="Por _T1"/>
    <s v="Porteiro"/>
    <s v="T1"/>
    <s v="Noite"/>
    <s v="Gestão"/>
    <s v="Iniciação Profissional"/>
    <s v="Ronaldo Borba"/>
    <d v="1899-12-31T06:00:00"/>
    <m/>
    <s v="x"/>
    <m/>
    <s v="x"/>
    <m/>
    <s v="1010111"/>
    <d v="1899-12-30T19:00:00"/>
    <d v="1899-12-30T22:00:00"/>
    <d v="1899-12-30T03:00:00"/>
    <n v="10"/>
    <x v="19"/>
    <x v="7"/>
    <s v="(+) 18"/>
    <n v="20"/>
    <n v="47.5"/>
    <n v="1425"/>
    <m/>
    <n v="1425"/>
    <n v="0"/>
    <s v="Finalizado"/>
    <x v="1"/>
    <x v="1"/>
    <s v="Anna de Moura"/>
    <m/>
  </r>
  <r>
    <s v="MicPow_T1"/>
    <s v="Microsoft Power BI"/>
    <s v="T1"/>
    <s v="Noite"/>
    <s v="Tecnologia da Informação"/>
    <s v="Aperfeiçoamento Profissional"/>
    <s v="João Kleber Indena Martins"/>
    <d v="1899-12-31T08:00:00"/>
    <m/>
    <s v="x"/>
    <s v="x"/>
    <s v="x"/>
    <m/>
    <s v="1000111"/>
    <d v="1899-12-30T19:00:00"/>
    <d v="1899-12-30T22:00:00"/>
    <d v="1899-12-30T03:00:00"/>
    <n v="10.666666666666666"/>
    <x v="19"/>
    <x v="21"/>
    <s v="(+) 16"/>
    <n v="16"/>
    <n v="47.5"/>
    <n v="1520"/>
    <m/>
    <n v="1282.5"/>
    <n v="0"/>
    <s v="Finalizado"/>
    <x v="1"/>
    <x v="0"/>
    <s v="Convênio"/>
    <m/>
  </r>
  <r>
    <s v="Lid _T2"/>
    <s v="Liderança"/>
    <s v="T2"/>
    <s v="Noite"/>
    <s v="Gestão"/>
    <s v="Aperfeiçoamento Profissional"/>
    <s v="Edilson Rosa"/>
    <d v="1899-12-31T00:00:00"/>
    <m/>
    <s v="x"/>
    <m/>
    <s v="x"/>
    <m/>
    <s v="1010111"/>
    <d v="1899-12-30T19:00:00"/>
    <d v="1899-12-30T22:00:00"/>
    <d v="1899-12-30T03:00:00"/>
    <n v="8"/>
    <x v="19"/>
    <x v="22"/>
    <s v="(+) 16"/>
    <n v="20"/>
    <s v="-"/>
    <s v="R$ 0,00"/>
    <m/>
    <n v="0"/>
    <n v="0"/>
    <s v="Finalizado"/>
    <x v="0"/>
    <x v="0"/>
    <s v="Gratuidade"/>
    <m/>
  </r>
  <r>
    <s v="Piz _T1"/>
    <s v="Pizza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9"/>
    <x v="23"/>
    <s v="(+) 18"/>
    <n v="16"/>
    <n v="47.5"/>
    <n v="712.5"/>
    <n v="450"/>
    <n v="712.5"/>
    <n v="540.92000000000007"/>
    <s v="Finalizado"/>
    <x v="1"/>
    <x v="1"/>
    <s v="Anna de Moura"/>
    <m/>
  </r>
  <r>
    <s v="DesSob_T1"/>
    <s v="Design Sobrancelha"/>
    <s v="T1"/>
    <s v="Tarde"/>
    <s v="Beleza e Saúde"/>
    <s v="Iniciação Profissional"/>
    <s v="Irene Stephani"/>
    <d v="1899-12-30T20:00:00"/>
    <m/>
    <s v="x"/>
    <m/>
    <m/>
    <m/>
    <s v="1011111"/>
    <d v="1899-12-30T14:00:00"/>
    <d v="1899-12-30T17:00:00"/>
    <d v="1899-12-30T03:00:00"/>
    <n v="6.666666666666667"/>
    <x v="19"/>
    <x v="1"/>
    <s v="(+) 18"/>
    <n v="20"/>
    <n v="47.5"/>
    <n v="950"/>
    <n v="600"/>
    <n v="997.5"/>
    <n v="0"/>
    <s v="Finalizado"/>
    <x v="1"/>
    <x v="1"/>
    <s v="Anna de Moura"/>
    <m/>
  </r>
  <r>
    <s v="ComElé_T1"/>
    <s v="Comandos Elétricos"/>
    <s v="T1"/>
    <s v="Tarde"/>
    <s v="Eletroeletrônica - Eletricidade"/>
    <s v="Aperfeiçoamento Profissional"/>
    <s v="Ismael Alves de Faria"/>
    <d v="1900-01-04T00:00:00"/>
    <s v="x"/>
    <m/>
    <m/>
    <s v="x"/>
    <m/>
    <s v="0110111"/>
    <d v="1899-12-30T14:00:00"/>
    <d v="1899-12-30T17:00:00"/>
    <d v="1899-12-30T03:00:00"/>
    <n v="40"/>
    <x v="20"/>
    <x v="24"/>
    <s v="(+) 18"/>
    <n v="16"/>
    <n v="0"/>
    <s v="R$ 0,00"/>
    <m/>
    <n v="0"/>
    <n v="0"/>
    <s v="Em andamento"/>
    <x v="0"/>
    <x v="0"/>
    <s v="Gratuidade"/>
    <m/>
  </r>
  <r>
    <s v="FerQua_T1"/>
    <s v="Ferramentas Qualidade"/>
    <s v="T1"/>
    <s v="Tarde"/>
    <m/>
    <s v="Aperfeiçoamento Profissional"/>
    <s v="Sidney Nunes"/>
    <d v="1899-12-31T12:00:00"/>
    <m/>
    <s v="x"/>
    <s v="x"/>
    <m/>
    <m/>
    <s v="1001111"/>
    <d v="1899-12-30T13:30:00"/>
    <d v="1899-12-30T16:30:00"/>
    <d v="1899-12-30T03:00:00"/>
    <n v="12"/>
    <x v="21"/>
    <x v="2"/>
    <s v="(+) 16"/>
    <n v="16"/>
    <n v="0"/>
    <s v="R$ 0,00"/>
    <m/>
    <n v="0"/>
    <n v="0"/>
    <s v="Finalizado"/>
    <x v="0"/>
    <x v="0"/>
    <s v="Gratuidade"/>
    <m/>
  </r>
  <r>
    <s v="MasFre_T1"/>
    <s v="Massas Frescas e Molho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22"/>
    <x v="25"/>
    <s v="(+) 18"/>
    <n v="16"/>
    <n v="47.5"/>
    <n v="712.5"/>
    <m/>
    <n v="712.5"/>
    <n v="0"/>
    <s v="Finalizado"/>
    <x v="1"/>
    <x v="1"/>
    <s v="Anna de Moura"/>
    <m/>
  </r>
  <r>
    <s v="Opede _T1"/>
    <s v="Operador de Logistica"/>
    <s v="T1"/>
    <s v="Tarde"/>
    <s v="Lógistica e Transporte"/>
    <s v="Qualificação Profissional"/>
    <s v="José Elnir"/>
    <d v="1900-01-05T16:00:00"/>
    <m/>
    <s v="x"/>
    <m/>
    <s v="x"/>
    <m/>
    <s v="1010111"/>
    <d v="1899-12-30T13:00:00"/>
    <d v="1899-12-30T17:00:00"/>
    <d v="1899-12-30T04:00:00"/>
    <n v="39.999999999999986"/>
    <x v="23"/>
    <x v="26"/>
    <s v="(+) 16"/>
    <n v="16"/>
    <s v="-"/>
    <s v="R$ 0,00"/>
    <m/>
    <n v="0"/>
    <n v="0"/>
    <s v="Em andamento"/>
    <x v="0"/>
    <x v="0"/>
    <s v="Gratuidade"/>
    <m/>
  </r>
  <r>
    <s v="PlaCon_T2"/>
    <s v="Planejamento Controle de Produção"/>
    <s v="T2"/>
    <s v="Tarde"/>
    <s v="Lógistica e Transporte"/>
    <s v="Aperfeiçoamento Profissional"/>
    <s v="Adilson Pereira"/>
    <d v="1899-12-31T16:00:00"/>
    <m/>
    <s v="x"/>
    <m/>
    <s v="x"/>
    <m/>
    <s v="1010111"/>
    <d v="1899-12-30T14:00:00"/>
    <d v="1899-12-30T17:00:00"/>
    <d v="1899-12-30T03:00:00"/>
    <n v="13.333333333333334"/>
    <x v="24"/>
    <x v="27"/>
    <s v="(+) 16"/>
    <n v="16"/>
    <n v="0"/>
    <s v="R$ 0,00"/>
    <m/>
    <n v="0"/>
    <n v="0"/>
    <s v="Aguardando"/>
    <x v="0"/>
    <x v="0"/>
    <s v="Gratuidade"/>
    <m/>
  </r>
  <r>
    <s v="Ban _T1"/>
    <s v="Banda"/>
    <s v="T1"/>
    <s v="Noite"/>
    <m/>
    <m/>
    <s v="Edmilton / Juliana / Rafael"/>
    <d v="1900-01-01T04:00:00"/>
    <m/>
    <s v="x"/>
    <m/>
    <m/>
    <m/>
    <s v="1011111"/>
    <d v="1899-12-30T19:00:00"/>
    <d v="1899-12-30T21:30:00"/>
    <d v="1899-12-30T02:30:00"/>
    <n v="20.799999999999983"/>
    <x v="25"/>
    <x v="28"/>
    <s v="Entre 14 e 18 anos"/>
    <m/>
    <m/>
    <n v="12896.25"/>
    <m/>
    <m/>
    <n v="0"/>
    <s v="Aguardando"/>
    <x v="1"/>
    <x v="1"/>
    <s v="Anna de Moura"/>
    <m/>
  </r>
  <r>
    <s v="ExcAva_T1"/>
    <s v="Excel Avançado"/>
    <s v="T1"/>
    <s v="Noite"/>
    <s v="Tecnologia da Informação"/>
    <s v="Aperfeiçoamento Profissional"/>
    <s v="Daniel F. Junior"/>
    <d v="1899-12-31T16:00:00"/>
    <m/>
    <s v="x"/>
    <m/>
    <s v="x"/>
    <m/>
    <s v="1010111"/>
    <d v="1899-12-30T19:00:00"/>
    <d v="1899-12-30T22:00:00"/>
    <d v="1899-12-30T03:00:00"/>
    <n v="13.333333333333334"/>
    <x v="25"/>
    <x v="27"/>
    <s v="(+) 16"/>
    <n v="16"/>
    <m/>
    <s v="R$ 0,00"/>
    <m/>
    <n v="0"/>
    <n v="0"/>
    <s v="Aguardando"/>
    <x v="0"/>
    <x v="0"/>
    <s v="Gratuidade"/>
    <s v="As horas do dia 04/09 será diluida nas aulas."/>
  </r>
  <r>
    <s v="InfBás_T3"/>
    <s v="Informática Básica"/>
    <s v="T3"/>
    <s v="Noite"/>
    <s v="Tecnologia da Informação"/>
    <s v="Iniciação Profissional"/>
    <s v="Ronaldo Borba"/>
    <d v="1900-01-01T12:00:00"/>
    <m/>
    <m/>
    <s v="x"/>
    <m/>
    <m/>
    <s v="1101111"/>
    <d v="1899-12-30T19:00:00"/>
    <d v="1899-12-30T22:00:00"/>
    <d v="1899-12-30T03:00:00"/>
    <n v="20"/>
    <x v="26"/>
    <x v="29"/>
    <s v="(+) 18"/>
    <n v="16"/>
    <n v="47.5"/>
    <n v="2850"/>
    <m/>
    <n v="0"/>
    <n v="0"/>
    <s v="Aguardando"/>
    <x v="1"/>
    <x v="0"/>
    <s v="Convênio"/>
    <m/>
  </r>
  <r>
    <s v="Fut _T1"/>
    <s v="Futsal"/>
    <s v="T1"/>
    <s v="Tarde"/>
    <s v="Esporte"/>
    <s v="Iniciação Profissional"/>
    <s v="Agatha Cristina dos Santos Marcondes"/>
    <d v="1899-12-31T16:00:00"/>
    <m/>
    <m/>
    <m/>
    <s v="x"/>
    <m/>
    <s v="1110111"/>
    <d v="1899-12-30T16:00:00"/>
    <d v="1899-12-30T18:00:00"/>
    <d v="1899-12-30T02:00:00"/>
    <n v="19.999999999999993"/>
    <x v="27"/>
    <x v="30"/>
    <s v="13-14"/>
    <m/>
    <n v="47.5"/>
    <n v="1900"/>
    <n v="0"/>
    <m/>
    <n v="0"/>
    <s v="Aguardando"/>
    <x v="1"/>
    <x v="1"/>
    <s v="Anna de Moura"/>
    <m/>
  </r>
  <r>
    <s v="Fut _T2"/>
    <s v="Futsal"/>
    <s v="T2"/>
    <s v="Noite"/>
    <s v="Esporte"/>
    <s v="Iniciação Profissional"/>
    <s v="Agatha Cristina dos Santos Marcondes"/>
    <d v="1899-12-31T16:00:00"/>
    <m/>
    <m/>
    <m/>
    <s v="x"/>
    <m/>
    <s v="1110111"/>
    <d v="1899-12-30T19:00:00"/>
    <d v="1899-12-30T21:00:00"/>
    <d v="1899-12-30T02:00:00"/>
    <n v="19.999999999999993"/>
    <x v="27"/>
    <x v="30"/>
    <s v="15 - 16 -17"/>
    <m/>
    <n v="47.5"/>
    <n v="1900"/>
    <n v="0"/>
    <m/>
    <n v="0"/>
    <s v="Aguardando"/>
    <x v="1"/>
    <x v="1"/>
    <s v="Anna de Moura"/>
    <m/>
  </r>
  <r>
    <s v="CosPlanMa_T1"/>
    <s v="Tecnicas de Costura para Tecido Plano e Malha"/>
    <s v="T1"/>
    <s v="Manhã"/>
    <s v="Moda"/>
    <s v="Aperfeiçoamento Profissional"/>
    <s v="Ana Carolina Pereira Araujo"/>
    <d v="1900-01-02T16:00:00"/>
    <s v="x"/>
    <s v="x"/>
    <s v="x"/>
    <s v="x"/>
    <s v="x"/>
    <s v="0000011"/>
    <d v="1899-12-30T08:00:00"/>
    <d v="1899-12-30T12:00:00"/>
    <d v="1899-12-30T04:00:00"/>
    <n v="21.999999999999996"/>
    <x v="28"/>
    <x v="31"/>
    <s v="(+) 18"/>
    <n v="16"/>
    <s v="-"/>
    <s v="R$ 0,00"/>
    <m/>
    <n v="0"/>
    <n v="0"/>
    <s v="Aguardando"/>
    <x v="2"/>
    <x v="2"/>
    <s v="SEBRAE / SENAI"/>
    <m/>
  </r>
  <r>
    <s v="LeiInt_T1"/>
    <s v="Leitura Interpretação de Desenho Técnico Mecânico"/>
    <s v="T1"/>
    <s v="Noite"/>
    <m/>
    <s v="Aperfeiçoamento Profissional"/>
    <s v="Alison Silva"/>
    <d v="1900-01-01T12:00:00"/>
    <m/>
    <s v="x"/>
    <s v="x"/>
    <s v="x"/>
    <m/>
    <s v="1000111"/>
    <d v="1899-12-30T19:00:00"/>
    <d v="1899-12-30T22:00:00"/>
    <d v="1899-12-30T03:00:00"/>
    <n v="20"/>
    <x v="29"/>
    <x v="32"/>
    <s v="(+) 16"/>
    <n v="16"/>
    <m/>
    <s v="R$ 0,00"/>
    <m/>
    <n v="0"/>
    <n v="0"/>
    <s v="Aguardando"/>
    <x v="0"/>
    <x v="0"/>
    <s v="Gratuidade"/>
    <m/>
  </r>
  <r>
    <s v="ConsRef_T1"/>
    <s v="Costureiro de Conserto e Reforma de Roupas"/>
    <s v="T1"/>
    <s v="Tarde"/>
    <s v="Moda"/>
    <s v="Aperfeiçoamento Profissional"/>
    <s v="Ana Carolina Pereira Araujo"/>
    <d v="1900-01-02T08:00:00"/>
    <s v="x"/>
    <s v="x"/>
    <s v="x"/>
    <s v="x"/>
    <s v="x"/>
    <s v="0000011"/>
    <d v="1899-12-30T13:00:00"/>
    <d v="1899-12-30T17:00:00"/>
    <d v="1899-12-30T04:00:00"/>
    <n v="19.999999999999993"/>
    <x v="30"/>
    <x v="31"/>
    <s v="(+) 18"/>
    <n v="16"/>
    <m/>
    <s v="R$ 0,00"/>
    <m/>
    <n v="0"/>
    <n v="0"/>
    <s v="Aguardando"/>
    <x v="0"/>
    <x v="0"/>
    <s v="Gratuidade"/>
    <m/>
  </r>
  <r>
    <s v="PacOff_T4"/>
    <s v="Pacote Office"/>
    <s v="T4"/>
    <s v="Noite"/>
    <s v="Tecnologia da Informação"/>
    <s v="Aperfeiçoamento Profissional"/>
    <s v="Robson da Silva Gonçalves"/>
    <d v="1900-01-03T00:00:00"/>
    <m/>
    <s v="x"/>
    <s v="x"/>
    <m/>
    <m/>
    <s v="1001111"/>
    <d v="1899-12-30T19:00:00"/>
    <d v="1899-12-30T22:00:00"/>
    <d v="1899-12-30T03:00:00"/>
    <n v="32"/>
    <x v="31"/>
    <x v="33"/>
    <s v="(+18)"/>
    <n v="14"/>
    <n v="47.5"/>
    <n v="4560"/>
    <m/>
    <n v="0"/>
    <n v="0"/>
    <s v="Aguardando"/>
    <x v="1"/>
    <x v="0"/>
    <s v="Convênio"/>
    <m/>
  </r>
  <r>
    <s v="DesCap_T1"/>
    <s v="Desenvolvimento Capacidades Socioemocionais"/>
    <s v="T1"/>
    <s v="Noite"/>
    <s v="Gestão"/>
    <s v="Aperfeiçoamento Profissional"/>
    <s v="Ana Flavia Eilliar Bianchini"/>
    <d v="1900-01-02T08:00:00"/>
    <m/>
    <s v="x"/>
    <s v="x"/>
    <m/>
    <m/>
    <s v="1001111"/>
    <d v="1899-12-30T19:00:00"/>
    <d v="1899-12-30T22:00:00"/>
    <d v="1899-12-30T03:00:00"/>
    <n v="26.666666666666668"/>
    <x v="31"/>
    <x v="34"/>
    <s v="(+18)"/>
    <n v="25"/>
    <n v="47.5"/>
    <n v="3800"/>
    <m/>
    <n v="0"/>
    <n v="0"/>
    <s v="Aguardando"/>
    <x v="1"/>
    <x v="0"/>
    <s v="Convênio"/>
    <m/>
  </r>
  <r>
    <s v="Maq _T1"/>
    <s v="Maquiagem"/>
    <s v="T1"/>
    <s v="Tarde"/>
    <s v="Beleza e Saúde"/>
    <s v="Iniciação Profissional"/>
    <s v="Irene Stephani"/>
    <d v="1899-12-31T16:00:00"/>
    <m/>
    <s v="x"/>
    <m/>
    <m/>
    <m/>
    <s v="1011111"/>
    <d v="1899-12-30T14:00:00"/>
    <d v="1899-12-30T17:00:00"/>
    <d v="1899-12-30T03:00:00"/>
    <n v="13.333333333333334"/>
    <x v="31"/>
    <x v="35"/>
    <s v="(+) 18"/>
    <n v="20"/>
    <n v="47.5"/>
    <n v="1900"/>
    <m/>
    <n v="0"/>
    <n v="0"/>
    <s v="Aguardando"/>
    <x v="1"/>
    <x v="1"/>
    <s v="Anna de Moura"/>
    <m/>
  </r>
  <r>
    <s v="Bolno _T1"/>
    <s v="Bolo no Pote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1"/>
    <x v="36"/>
    <s v="(+) 18"/>
    <n v="16"/>
    <n v="47.5"/>
    <n v="855"/>
    <m/>
    <n v="0"/>
    <n v="0"/>
    <s v="Aguardando"/>
    <x v="1"/>
    <x v="1"/>
    <s v="Anna de Moura"/>
    <m/>
  </r>
  <r>
    <s v="ComElé_T2"/>
    <s v="Comandos Elétricos"/>
    <s v="T2"/>
    <s v="Tarde"/>
    <s v="Eletroeletrônica - Eletricidade"/>
    <s v="Aperfeiçoamento Profissional"/>
    <s v="Diego Tertulino"/>
    <d v="1900-01-04T00:00:00"/>
    <m/>
    <s v="x"/>
    <m/>
    <s v="x"/>
    <m/>
    <s v="1010111"/>
    <d v="1899-12-30T13:00:00"/>
    <d v="1899-12-30T17:30:00"/>
    <d v="1899-12-30T04:30:00"/>
    <n v="26.666666666666668"/>
    <x v="31"/>
    <x v="24"/>
    <s v="(+) 18"/>
    <n v="16"/>
    <m/>
    <s v="R$ 0,00"/>
    <m/>
    <n v="0"/>
    <n v="0"/>
    <s v="Aguardando"/>
    <x v="0"/>
    <x v="0"/>
    <s v="Gratuidade"/>
    <m/>
  </r>
  <r>
    <s v="InfBás_T4"/>
    <s v="Informática Básica"/>
    <s v="T4"/>
    <s v="Tarde"/>
    <s v="Tecnologia da Informação"/>
    <s v="Iniciação Profissional"/>
    <s v="Ronaldo Borba"/>
    <d v="1900-01-01T12:00:00"/>
    <m/>
    <s v="x"/>
    <m/>
    <s v="x"/>
    <m/>
    <s v="1010111"/>
    <d v="1899-12-30T15:00:00"/>
    <d v="1899-12-30T18:00:00"/>
    <d v="1899-12-30T03:00:00"/>
    <n v="20"/>
    <x v="31"/>
    <x v="37"/>
    <s v="(+) 14"/>
    <n v="16"/>
    <n v="47.5"/>
    <n v="2850"/>
    <m/>
    <n v="0"/>
    <n v="0"/>
    <s v="Aguardando"/>
    <x v="1"/>
    <x v="0"/>
    <s v="Convênio"/>
    <m/>
  </r>
  <r>
    <s v="Excno _T1"/>
    <s v="Excelência no Atendimento"/>
    <s v="T1"/>
    <s v="Noite"/>
    <s v="Gestão"/>
    <s v="Aperfeiçoamento Profissional"/>
    <s v="Ronaldo Borba"/>
    <d v="1899-12-30T20:00:00"/>
    <m/>
    <s v="x"/>
    <m/>
    <s v="x"/>
    <m/>
    <s v="1010111"/>
    <d v="1899-12-30T19:00:00"/>
    <d v="1899-12-30T22:00:00"/>
    <d v="1899-12-30T03:00:00"/>
    <n v="6.666666666666667"/>
    <x v="31"/>
    <x v="31"/>
    <s v="(+) 16"/>
    <n v="20"/>
    <n v="47.5"/>
    <n v="950"/>
    <m/>
    <n v="0"/>
    <n v="0"/>
    <s v="Aguardando"/>
    <x v="1"/>
    <x v="0"/>
    <s v="Convênio"/>
    <m/>
  </r>
  <r>
    <s v="RotAdm_T1"/>
    <s v="Rotinas Administrativas"/>
    <s v="T1"/>
    <s v="Noite"/>
    <s v="Gestão"/>
    <s v="Aperfeiçoamento Profissional"/>
    <s v="Fabiane"/>
    <d v="1900-01-03T04:00:00"/>
    <m/>
    <m/>
    <s v="x"/>
    <s v="x"/>
    <m/>
    <s v="1100111"/>
    <d v="1899-12-30T19:00:00"/>
    <d v="1899-12-30T22:00:00"/>
    <d v="1899-12-30T03:00:00"/>
    <n v="33.333333333333336"/>
    <x v="32"/>
    <x v="38"/>
    <s v="(+) 18"/>
    <n v="20"/>
    <n v="47.5"/>
    <n v="4750"/>
    <m/>
    <n v="0"/>
    <n v="0"/>
    <s v="Aguardando"/>
    <x v="1"/>
    <x v="0"/>
    <s v="Convênio"/>
    <m/>
  </r>
  <r>
    <s v="Gin _T1"/>
    <s v="Ginastica"/>
    <s v="T1"/>
    <s v="Tarde"/>
    <s v="Beleza e Saúde"/>
    <s v="Iniciação Profissional"/>
    <s v="Ingrid de Assis"/>
    <d v="1899-12-30T15:00:00"/>
    <m/>
    <m/>
    <s v="x"/>
    <m/>
    <m/>
    <s v="1101111"/>
    <d v="1899-12-30T17:00:00"/>
    <d v="1899-12-30T18:00:00"/>
    <d v="1899-12-30T01:00:00"/>
    <n v="15.000000000000014"/>
    <x v="32"/>
    <x v="38"/>
    <s v="(+) 18"/>
    <m/>
    <n v="55"/>
    <n v="825"/>
    <m/>
    <m/>
    <n v="0"/>
    <s v="Aguardando"/>
    <x v="1"/>
    <x v="1"/>
    <s v="Anna de Moura"/>
    <m/>
  </r>
  <r>
    <s v="Tea _T1"/>
    <s v="Teatro"/>
    <s v="T1"/>
    <s v="Noite"/>
    <s v="Arte e Cultura"/>
    <s v="Iniciação Profissional"/>
    <s v="Karina Stolemberger"/>
    <d v="1899-12-31T20:00:00"/>
    <m/>
    <m/>
    <s v="x"/>
    <m/>
    <m/>
    <s v="1101111"/>
    <d v="1899-12-30T19:00:00"/>
    <d v="1899-12-30T21:30:00"/>
    <d v="1899-12-30T02:30:00"/>
    <n v="17.599999999999987"/>
    <x v="32"/>
    <x v="29"/>
    <s v="(+) 14"/>
    <m/>
    <n v="47.5"/>
    <n v="2090"/>
    <n v="0"/>
    <m/>
    <n v="0"/>
    <s v="Aguardando"/>
    <x v="1"/>
    <x v="1"/>
    <s v="Anna de Moura"/>
    <m/>
  </r>
  <r>
    <s v="Monde _T1"/>
    <s v="Montagem de Painéis Elétricos"/>
    <s v="T1"/>
    <s v="Tarde"/>
    <s v="Eletroeletrônica - Eletricidade"/>
    <s v="Aperfeiçoamento Profissional"/>
    <s v="Diego Tertulino"/>
    <d v="1900-01-02T08:00:00"/>
    <m/>
    <m/>
    <s v="x"/>
    <m/>
    <s v="x"/>
    <s v="1101011"/>
    <d v="1899-12-30T13:00:00"/>
    <d v="1899-12-30T17:00:00"/>
    <d v="1899-12-30T04:00:00"/>
    <n v="19.999999999999993"/>
    <x v="32"/>
    <x v="39"/>
    <s v="(+) 18"/>
    <n v="16"/>
    <m/>
    <s v="R$ 0,00"/>
    <m/>
    <n v="0"/>
    <n v="0"/>
    <s v="Aguardando"/>
    <x v="0"/>
    <x v="0"/>
    <s v="Gratuidade"/>
    <m/>
  </r>
  <r>
    <s v="EleIns_T2"/>
    <s v="Eletricista Instalador"/>
    <s v="T2"/>
    <s v="Noite"/>
    <s v="Eletroeletrônica - Eletricidade"/>
    <s v="Qualificação Profissional"/>
    <s v="Diego Tertulino"/>
    <d v="1900-01-05T16:00:00"/>
    <m/>
    <s v="x"/>
    <s v="x"/>
    <s v="x"/>
    <m/>
    <s v="1000111"/>
    <d v="1899-12-30T18:30:00"/>
    <d v="1899-12-30T22:00:00"/>
    <d v="1899-12-30T03:30:00"/>
    <n v="45.714285714285737"/>
    <x v="32"/>
    <x v="24"/>
    <s v="(+) 18"/>
    <n v="16"/>
    <m/>
    <s v="R$ 0,00"/>
    <m/>
    <n v="0"/>
    <n v="0"/>
    <s v="Aguardando"/>
    <x v="0"/>
    <x v="0"/>
    <s v="Gratuidade"/>
    <s v="As horas entre o dia 04 e 25 de novembro será diluida nas aulas."/>
  </r>
  <r>
    <s v="Ing _T3"/>
    <s v="Inglês"/>
    <s v="T3"/>
    <s v="Tarde"/>
    <s v="Idiomas"/>
    <s v="Iniciação Profissional"/>
    <s v="Wanderly Francisca Nepomuceno"/>
    <d v="1899-12-31T12:00:00"/>
    <m/>
    <m/>
    <m/>
    <s v="x"/>
    <m/>
    <s v="1110111"/>
    <d v="1899-12-30T14:00:00"/>
    <d v="1899-12-30T17:00:00"/>
    <d v="1899-12-30T03:00:00"/>
    <n v="12"/>
    <x v="33"/>
    <x v="40"/>
    <s v="14 a 18 ANOS"/>
    <n v="32"/>
    <n v="47.5"/>
    <n v="1710"/>
    <m/>
    <n v="0"/>
    <n v="0"/>
    <s v="Aguardando"/>
    <x v="1"/>
    <x v="1"/>
    <s v="Anna de Moura"/>
    <m/>
  </r>
  <r>
    <s v="PacOff_T5"/>
    <s v="Pacote Office"/>
    <s v="T5"/>
    <s v="Tarde"/>
    <s v="Tecnologia da Informação"/>
    <s v="Aperfeiçoamento Profissional"/>
    <s v="Ciro Mendes"/>
    <d v="1900-01-03T00:00:00"/>
    <m/>
    <m/>
    <s v="x"/>
    <m/>
    <s v="x"/>
    <s v="1101011"/>
    <d v="1899-12-30T13:00:00"/>
    <d v="1899-12-30T17:00:00"/>
    <d v="1899-12-30T04:00:00"/>
    <n v="23.999999999999989"/>
    <x v="34"/>
    <x v="41"/>
    <s v="(+14)"/>
    <n v="14"/>
    <n v="0"/>
    <s v="R$ 0,00"/>
    <m/>
    <n v="0"/>
    <n v="0"/>
    <s v="Aguardando"/>
    <x v="0"/>
    <x v="0"/>
    <s v="Gratuidade"/>
    <m/>
  </r>
  <r>
    <s v="SalFri_T1"/>
    <s v="Salgados Fritos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5"/>
    <x v="32"/>
    <s v="(+18)"/>
    <n v="16"/>
    <n v="47.5"/>
    <n v="855"/>
    <m/>
    <n v="0"/>
    <n v="0"/>
    <s v="Aguardando"/>
    <x v="1"/>
    <x v="1"/>
    <s v="Anna de Moura"/>
    <m/>
  </r>
  <r>
    <s v="PowBI_T2"/>
    <s v="Power BI"/>
    <s v="T2"/>
    <s v="Noite"/>
    <s v="Tecnologia da Informação"/>
    <s v="Aperfeiçoamento Profissional"/>
    <s v="Daniel F. Junior"/>
    <d v="1899-12-31T08:00:00"/>
    <m/>
    <s v="x"/>
    <m/>
    <s v="x"/>
    <m/>
    <s v="1010111"/>
    <d v="1899-12-30T19:00:00"/>
    <d v="1899-12-30T22:00:00"/>
    <d v="1899-12-30T03:00:00"/>
    <n v="10.666666666666666"/>
    <x v="36"/>
    <x v="42"/>
    <s v="(+) 16"/>
    <n v="16"/>
    <m/>
    <s v="R$ 0,00"/>
    <m/>
    <n v="0"/>
    <n v="0"/>
    <s v="Aguardando"/>
    <x v="0"/>
    <x v="0"/>
    <s v="Gratuidade"/>
    <m/>
  </r>
  <r>
    <s v="Elade _T1"/>
    <s v="Elaboração de Laudos Para Instalações Elétricas"/>
    <s v="T1"/>
    <s v="Noite"/>
    <s v="Eletroeletrônica - Eletricidade"/>
    <s v="Aperfeiçoamento Profissional"/>
    <s v="Ilso Cruz"/>
    <d v="1899-12-31T00:00:00"/>
    <m/>
    <m/>
    <s v="x"/>
    <m/>
    <m/>
    <s v="1101111"/>
    <d v="1899-12-30T19:00:00"/>
    <d v="1899-12-30T22:00:00"/>
    <d v="1899-12-30T03:00:00"/>
    <n v="8"/>
    <x v="37"/>
    <x v="34"/>
    <s v="(+) 18"/>
    <n v="16"/>
    <m/>
    <s v="R$ 0,00"/>
    <m/>
    <n v="0"/>
    <n v="0"/>
    <s v="Aguardando"/>
    <x v="0"/>
    <x v="0"/>
    <s v="Gratuidade"/>
    <m/>
  </r>
  <r>
    <s v="Kai _T1"/>
    <s v="Kaizen"/>
    <s v="T1"/>
    <s v="Tarde"/>
    <s v="Gestão"/>
    <s v="Aperfeiçoamento Profissional"/>
    <s v="Ciro Mendes"/>
    <d v="1899-12-30T16:00:00"/>
    <m/>
    <s v="x"/>
    <m/>
    <s v="x"/>
    <m/>
    <s v="1010111"/>
    <d v="1899-12-30T13:00:00"/>
    <d v="1899-12-30T17:00:00"/>
    <d v="1899-12-30T04:00:00"/>
    <n v="3.9999999999999982"/>
    <x v="38"/>
    <x v="37"/>
    <s v="(+) 16"/>
    <n v="16"/>
    <m/>
    <s v="R$ 0,00"/>
    <m/>
    <n v="0"/>
    <n v="0"/>
    <s v="Aguardando"/>
    <x v="0"/>
    <x v="0"/>
    <s v="Gratuidade"/>
    <m/>
  </r>
  <r>
    <s v="Piz _T2"/>
    <s v="Pizzas"/>
    <s v="T2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9"/>
    <x v="43"/>
    <s v="(+) 18"/>
    <n v="16"/>
    <n v="47.5"/>
    <n v="855"/>
    <m/>
    <n v="0"/>
    <n v="0"/>
    <s v="Aguardando"/>
    <x v="1"/>
    <x v="1"/>
    <s v="Anna de Moura"/>
    <m/>
  </r>
  <r>
    <s v="Excno _T2"/>
    <s v="Excelência no Atendimento"/>
    <s v="T2"/>
    <s v="Noite"/>
    <s v="Gestão"/>
    <s v="Aperfeiçoamento Profissional"/>
    <s v="Ronaldo Borba"/>
    <d v="1899-12-30T20:00:00"/>
    <m/>
    <s v="x"/>
    <m/>
    <s v="x"/>
    <m/>
    <s v="1010111"/>
    <d v="1899-12-30T19:00:00"/>
    <d v="1899-12-30T22:00:00"/>
    <d v="1899-12-30T03:00:00"/>
    <n v="6.666666666666667"/>
    <x v="40"/>
    <x v="44"/>
    <s v="(+) 16"/>
    <n v="20"/>
    <n v="47.5"/>
    <n v="950"/>
    <m/>
    <n v="0"/>
    <n v="0"/>
    <s v="Aguardando"/>
    <x v="1"/>
    <x v="0"/>
    <s v="Convênio"/>
    <m/>
  </r>
  <r>
    <s v="Lid _T3"/>
    <s v="Liderança"/>
    <s v="T3"/>
    <s v="Tarde"/>
    <m/>
    <s v="Aperfeiçoamento Profissional"/>
    <s v="José Elnir"/>
    <d v="1899-12-31T00:00:00"/>
    <m/>
    <m/>
    <s v="x"/>
    <m/>
    <s v="x"/>
    <s v="1101011"/>
    <d v="1899-12-30T13:00:00"/>
    <d v="1899-12-30T17:00:00"/>
    <d v="1899-12-30T04:00:00"/>
    <n v="5.9999999999999973"/>
    <x v="41"/>
    <x v="45"/>
    <s v="(+) 16"/>
    <n v="20"/>
    <m/>
    <s v="R$ 0,00"/>
    <m/>
    <n v="0"/>
    <n v="0"/>
    <s v="Aguardando"/>
    <x v="0"/>
    <x v="0"/>
    <s v="Gratuidade"/>
    <m/>
  </r>
  <r>
    <s v="AnáTer_T1"/>
    <s v="Análise Termográfica"/>
    <s v="T1"/>
    <s v="Noite"/>
    <s v="Eletroeletrônica - Eletricidade"/>
    <s v="Aperfeiçoamento Profissional"/>
    <s v="Jorge Guimarães"/>
    <d v="1899-12-30T16:00:00"/>
    <m/>
    <s v="x"/>
    <s v="x"/>
    <s v="x"/>
    <m/>
    <s v="1000111"/>
    <d v="1899-12-30T18:45:00"/>
    <d v="1899-12-30T22:00:00"/>
    <d v="1899-12-30T03:15:00"/>
    <n v="4.9230769230769242"/>
    <x v="42"/>
    <x v="40"/>
    <s v="(+) 18"/>
    <n v="16"/>
    <m/>
    <s v="R$ 0,00"/>
    <m/>
    <n v="0"/>
    <n v="0"/>
    <s v="Aguardando"/>
    <x v="0"/>
    <x v="0"/>
    <s v="Gratuidade"/>
    <m/>
  </r>
  <r>
    <s v="PrevInc_T1"/>
    <s v="Prevenção a Incêndio"/>
    <s v="T1"/>
    <s v="Noite"/>
    <m/>
    <s v="Aperfeiçoamento Profissional"/>
    <s v="Jorge Guimarães"/>
    <d v="1899-12-30T08:00:00"/>
    <m/>
    <s v="x"/>
    <s v="x"/>
    <s v="x"/>
    <m/>
    <s v="1000111"/>
    <d v="1899-12-30T19:00:00"/>
    <d v="1899-12-30T22:00:00"/>
    <d v="1899-12-30T03:00:00"/>
    <n v="2.6666666666666665"/>
    <x v="43"/>
    <x v="24"/>
    <s v="(+) 18"/>
    <n v="16"/>
    <m/>
    <s v="R$ 0,00"/>
    <m/>
    <n v="0"/>
    <n v="0"/>
    <s v="Aguardando"/>
    <x v="0"/>
    <x v="0"/>
    <s v="Gratuidade"/>
    <m/>
  </r>
  <r>
    <s v="IngAva_T1"/>
    <s v="Inglês Avançado"/>
    <s v="T1"/>
    <s v="Tarde"/>
    <s v="Idiomas"/>
    <s v="Aperfeiçoamento Profissional"/>
    <s v="Wanderly Francisca Nepomuceno"/>
    <d v="1899-12-30T15:00:00"/>
    <m/>
    <m/>
    <m/>
    <s v="x"/>
    <m/>
    <s v="1110111"/>
    <d v="1899-12-30T14:00:00"/>
    <d v="1899-12-30T17:00:00"/>
    <d v="1899-12-30T03:00:00"/>
    <n v="5"/>
    <x v="44"/>
    <x v="46"/>
    <s v="(+) 14"/>
    <n v="32"/>
    <n v="47.5"/>
    <n v="712.5"/>
    <m/>
    <n v="0"/>
    <n v="0"/>
    <s v="Aguardando"/>
    <x v="1"/>
    <x v="1"/>
    <s v="Anna de Moura"/>
    <m/>
  </r>
  <r>
    <s v="Pan _T1"/>
    <s v="Panetones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45"/>
    <x v="19"/>
    <s v="(+) 18"/>
    <n v="16"/>
    <n v="47.5"/>
    <n v="855"/>
    <m/>
    <n v="0"/>
    <n v="0"/>
    <s v="Aguardando"/>
    <x v="1"/>
    <x v="1"/>
    <s v="Anna de Moura"/>
    <m/>
  </r>
  <r>
    <s v="ExcBás_T2"/>
    <s v="Excel Básico"/>
    <s v="T2"/>
    <s v="Tarde"/>
    <s v="Tecnologia da Informação"/>
    <s v="Aperfeiçoamento Profissional"/>
    <s v="Ciro Mendes"/>
    <d v="1899-12-31T16:00:00"/>
    <m/>
    <s v="x"/>
    <m/>
    <s v="x"/>
    <m/>
    <s v="1010111"/>
    <d v="1899-12-30T13:00:00"/>
    <d v="1899-12-30T17:00:00"/>
    <d v="1899-12-30T04:00:00"/>
    <n v="9.9999999999999964"/>
    <x v="45"/>
    <x v="28"/>
    <s v="(+) 15"/>
    <n v="16"/>
    <m/>
    <s v="R$ 0,00"/>
    <m/>
    <n v="0"/>
    <n v="0"/>
    <s v="Aguardando"/>
    <x v="0"/>
    <x v="0"/>
    <s v="Gratuidade"/>
    <m/>
  </r>
  <r>
    <s v="SorArt_T2"/>
    <s v="Sorvetes Artesanais"/>
    <s v="T2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46"/>
    <x v="29"/>
    <s v="(+) 18"/>
    <n v="16"/>
    <n v="47.5"/>
    <n v="855"/>
    <m/>
    <n v="0"/>
    <n v="0"/>
    <s v="Aguardando"/>
    <x v="1"/>
    <x v="1"/>
    <s v="Anna de Moura"/>
    <m/>
  </r>
  <r>
    <s v="ManPro_T1"/>
    <s v="Manutenção Produtiva Total"/>
    <s v="T1"/>
    <s v="Noite"/>
    <m/>
    <s v="Aperfeiçoamento Profissional"/>
    <s v="Silvio Cordeiro"/>
    <d v="1899-12-30T20:00:00"/>
    <m/>
    <s v="x"/>
    <s v="x"/>
    <s v="x"/>
    <m/>
    <s v="1000111"/>
    <d v="1899-12-30T18:40:00"/>
    <d v="1899-12-30T22:00:00"/>
    <d v="1899-12-30T03:20:00"/>
    <n v="6.0000000000000027"/>
    <x v="47"/>
    <x v="30"/>
    <s v="(+) 16"/>
    <n v="16"/>
    <m/>
    <s v="R$ 0,00"/>
    <m/>
    <n v="0"/>
    <n v="0"/>
    <s v="Aguardando"/>
    <x v="0"/>
    <x v="0"/>
    <s v="Gratuidade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12A56E-E056-4B14-9B6A-80AFF923E5D6}" name="Tabela dinâmica1" cacheId="0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rowHeaderCaption="2º Semestre">
  <location ref="E12:F19" firstHeaderRow="1" firstDataRow="1" firstDataCol="1"/>
  <pivotFields count="36">
    <pivotField showAll="0"/>
    <pivotField dataField="1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Quantidade de Cursos" fld="1" subtotal="count" baseField="0" baseItem="0" numFmtId="1"/>
  </dataFields>
  <formats count="32">
    <format dxfId="187">
      <pivotArea collapsedLevelsAreSubtotals="1" fieldPosition="0">
        <references count="1">
          <reference field="33" count="1">
            <x v="2"/>
          </reference>
        </references>
      </pivotArea>
    </format>
    <format dxfId="186">
      <pivotArea collapsedLevelsAreSubtotals="1" fieldPosition="0">
        <references count="1">
          <reference field="33" count="1">
            <x v="3"/>
          </reference>
        </references>
      </pivotArea>
    </format>
    <format dxfId="185">
      <pivotArea collapsedLevelsAreSubtotals="1" fieldPosition="0">
        <references count="1">
          <reference field="33" count="1">
            <x v="4"/>
          </reference>
        </references>
      </pivotArea>
    </format>
    <format dxfId="184">
      <pivotArea collapsedLevelsAreSubtotals="1" fieldPosition="0">
        <references count="1">
          <reference field="33" count="1">
            <x v="5"/>
          </reference>
        </references>
      </pivotArea>
    </format>
    <format dxfId="183">
      <pivotArea collapsedLevelsAreSubtotals="1" fieldPosition="0">
        <references count="1">
          <reference field="33" count="1">
            <x v="6"/>
          </reference>
        </references>
      </pivotArea>
    </format>
    <format dxfId="182">
      <pivotArea collapsedLevelsAreSubtotals="1" fieldPosition="0">
        <references count="1">
          <reference field="33" count="1">
            <x v="7"/>
          </reference>
        </references>
      </pivotArea>
    </format>
    <format dxfId="181">
      <pivotArea collapsedLevelsAreSubtotals="1" fieldPosition="0">
        <references count="1">
          <reference field="33" count="1">
            <x v="8"/>
          </reference>
        </references>
      </pivotArea>
    </format>
    <format dxfId="180">
      <pivotArea collapsedLevelsAreSubtotals="1" fieldPosition="0">
        <references count="1">
          <reference field="33" count="1">
            <x v="9"/>
          </reference>
        </references>
      </pivotArea>
    </format>
    <format dxfId="179">
      <pivotArea collapsedLevelsAreSubtotals="1" fieldPosition="0">
        <references count="1">
          <reference field="33" count="1">
            <x v="10"/>
          </reference>
        </references>
      </pivotArea>
    </format>
    <format dxfId="178">
      <pivotArea collapsedLevelsAreSubtotals="1" fieldPosition="0">
        <references count="1">
          <reference field="33" count="1">
            <x v="12"/>
          </reference>
        </references>
      </pivotArea>
    </format>
    <format dxfId="177">
      <pivotArea collapsedLevelsAreSubtotals="1" fieldPosition="0">
        <references count="1">
          <reference field="33" count="1">
            <x v="2"/>
          </reference>
        </references>
      </pivotArea>
    </format>
    <format dxfId="176">
      <pivotArea collapsedLevelsAreSubtotals="1" fieldPosition="0">
        <references count="1">
          <reference field="33" count="1">
            <x v="3"/>
          </reference>
        </references>
      </pivotArea>
    </format>
    <format dxfId="175">
      <pivotArea collapsedLevelsAreSubtotals="1" fieldPosition="0">
        <references count="1">
          <reference field="33" count="1">
            <x v="4"/>
          </reference>
        </references>
      </pivotArea>
    </format>
    <format dxfId="174">
      <pivotArea collapsedLevelsAreSubtotals="1" fieldPosition="0">
        <references count="1">
          <reference field="33" count="1">
            <x v="5"/>
          </reference>
        </references>
      </pivotArea>
    </format>
    <format dxfId="173">
      <pivotArea collapsedLevelsAreSubtotals="1" fieldPosition="0">
        <references count="1">
          <reference field="33" count="1">
            <x v="6"/>
          </reference>
        </references>
      </pivotArea>
    </format>
    <format dxfId="172">
      <pivotArea collapsedLevelsAreSubtotals="1" fieldPosition="0">
        <references count="1">
          <reference field="33" count="1">
            <x v="7"/>
          </reference>
        </references>
      </pivotArea>
    </format>
    <format dxfId="171">
      <pivotArea collapsedLevelsAreSubtotals="1" fieldPosition="0">
        <references count="1">
          <reference field="33" count="1">
            <x v="8"/>
          </reference>
        </references>
      </pivotArea>
    </format>
    <format dxfId="170">
      <pivotArea collapsedLevelsAreSubtotals="1" fieldPosition="0">
        <references count="1">
          <reference field="33" count="1">
            <x v="9"/>
          </reference>
        </references>
      </pivotArea>
    </format>
    <format dxfId="169">
      <pivotArea collapsedLevelsAreSubtotals="1" fieldPosition="0">
        <references count="1">
          <reference field="33" count="1">
            <x v="10"/>
          </reference>
        </references>
      </pivotArea>
    </format>
    <format dxfId="168">
      <pivotArea collapsedLevelsAreSubtotals="1" fieldPosition="0">
        <references count="1">
          <reference field="33" count="1">
            <x v="12"/>
          </reference>
        </references>
      </pivotArea>
    </format>
    <format dxfId="167">
      <pivotArea dataOnly="0" labelOnly="1" outline="0" axis="axisValues" fieldPosition="0"/>
    </format>
    <format dxfId="166">
      <pivotArea field="33" type="button" dataOnly="0" labelOnly="1" outline="0" axis="axisRow" fieldPosition="0"/>
    </format>
    <format dxfId="165">
      <pivotArea dataOnly="0" labelOnly="1" fieldPosition="0">
        <references count="1">
          <reference field="33" count="5">
            <x v="7"/>
            <x v="8"/>
            <x v="9"/>
            <x v="10"/>
            <x v="12"/>
          </reference>
        </references>
      </pivotArea>
    </format>
    <format dxfId="164">
      <pivotArea dataOnly="0" labelOnly="1" grandRow="1" outline="0" fieldPosition="0"/>
    </format>
    <format dxfId="163">
      <pivotArea outline="0" collapsedLevelsAreSubtotals="1" fieldPosition="0"/>
    </format>
    <format dxfId="162">
      <pivotArea dataOnly="0" labelOnly="1" outline="0" axis="axisValues" fieldPosition="0"/>
    </format>
    <format dxfId="161">
      <pivotArea outline="0" collapsedLevelsAreSubtotals="1" fieldPosition="0"/>
    </format>
    <format dxfId="160">
      <pivotArea dataOnly="0" labelOnly="1" outline="0" axis="axisValues" fieldPosition="0"/>
    </format>
    <format dxfId="159">
      <pivotArea outline="0" collapsedLevelsAreSubtotals="1" fieldPosition="0"/>
    </format>
    <format dxfId="158">
      <pivotArea dataOnly="0" labelOnly="1" outline="0" axis="axisValues" fieldPosition="0"/>
    </format>
    <format dxfId="157">
      <pivotArea collapsedLevelsAreSubtotals="1" fieldPosition="0">
        <references count="1">
          <reference field="33" count="6">
            <x v="7"/>
            <x v="8"/>
            <x v="9"/>
            <x v="10"/>
            <x v="11"/>
            <x v="12"/>
          </reference>
        </references>
      </pivotArea>
    </format>
    <format dxfId="156">
      <pivotArea grandRow="1" outline="0" collapsedLevelsAreSubtotals="1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839"/>
            <customFilter operator="lessThanOrEqual" val="460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42CB-B541-4D2B-A682-9C915F11AA9C}" name="Tabela dinâmica3" cacheId="0" applyNumberFormats="0" applyBorderFormats="0" applyFontFormats="0" applyPatternFormats="0" applyAlignmentFormats="0" applyWidthHeightFormats="1" dataCaption="Valores" grandTotalCaption="Total 2º Semestre" updatedVersion="8" minRefreshableVersion="3" useAutoFormatting="1" itemPrintTitles="1" createdVersion="8" indent="0" outline="1" outlineData="1" multipleFieldFilters="0" rowHeaderCaption="2º Semestre">
  <location ref="A12:C19" firstHeaderRow="0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dataField="1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R$ Valor Previsto" fld="23" baseField="31" baseItem="2" numFmtId="44"/>
    <dataField name="Valor Executado" fld="25" baseField="0" baseItem="0" numFmtId="44"/>
  </dataFields>
  <formats count="26">
    <format dxfId="213">
      <pivotArea collapsedLevelsAreSubtotals="1" fieldPosition="0">
        <references count="1">
          <reference field="33" count="1">
            <x v="2"/>
          </reference>
        </references>
      </pivotArea>
    </format>
    <format dxfId="212">
      <pivotArea collapsedLevelsAreSubtotals="1" fieldPosition="0">
        <references count="1">
          <reference field="33" count="1">
            <x v="3"/>
          </reference>
        </references>
      </pivotArea>
    </format>
    <format dxfId="211">
      <pivotArea collapsedLevelsAreSubtotals="1" fieldPosition="0">
        <references count="1">
          <reference field="33" count="1">
            <x v="4"/>
          </reference>
        </references>
      </pivotArea>
    </format>
    <format dxfId="210">
      <pivotArea collapsedLevelsAreSubtotals="1" fieldPosition="0">
        <references count="1">
          <reference field="33" count="1">
            <x v="5"/>
          </reference>
        </references>
      </pivotArea>
    </format>
    <format dxfId="209">
      <pivotArea collapsedLevelsAreSubtotals="1" fieldPosition="0">
        <references count="1">
          <reference field="33" count="1">
            <x v="6"/>
          </reference>
        </references>
      </pivotArea>
    </format>
    <format dxfId="208">
      <pivotArea collapsedLevelsAreSubtotals="1" fieldPosition="0">
        <references count="1">
          <reference field="33" count="1">
            <x v="7"/>
          </reference>
        </references>
      </pivotArea>
    </format>
    <format dxfId="207">
      <pivotArea collapsedLevelsAreSubtotals="1" fieldPosition="0">
        <references count="1">
          <reference field="33" count="1">
            <x v="8"/>
          </reference>
        </references>
      </pivotArea>
    </format>
    <format dxfId="206">
      <pivotArea collapsedLevelsAreSubtotals="1" fieldPosition="0">
        <references count="1">
          <reference field="33" count="1">
            <x v="9"/>
          </reference>
        </references>
      </pivotArea>
    </format>
    <format dxfId="205">
      <pivotArea collapsedLevelsAreSubtotals="1" fieldPosition="0">
        <references count="1">
          <reference field="33" count="1">
            <x v="10"/>
          </reference>
        </references>
      </pivotArea>
    </format>
    <format dxfId="204">
      <pivotArea collapsedLevelsAreSubtotals="1" fieldPosition="0">
        <references count="1">
          <reference field="33" count="1">
            <x v="12"/>
          </reference>
        </references>
      </pivotArea>
    </format>
    <format dxfId="203">
      <pivotArea collapsedLevelsAreSubtotals="1" fieldPosition="0">
        <references count="1">
          <reference field="33" count="1">
            <x v="2"/>
          </reference>
        </references>
      </pivotArea>
    </format>
    <format dxfId="202">
      <pivotArea collapsedLevelsAreSubtotals="1" fieldPosition="0">
        <references count="1">
          <reference field="33" count="1">
            <x v="3"/>
          </reference>
        </references>
      </pivotArea>
    </format>
    <format dxfId="201">
      <pivotArea collapsedLevelsAreSubtotals="1" fieldPosition="0">
        <references count="1">
          <reference field="33" count="1">
            <x v="4"/>
          </reference>
        </references>
      </pivotArea>
    </format>
    <format dxfId="200">
      <pivotArea collapsedLevelsAreSubtotals="1" fieldPosition="0">
        <references count="1">
          <reference field="33" count="1">
            <x v="5"/>
          </reference>
        </references>
      </pivotArea>
    </format>
    <format dxfId="199">
      <pivotArea collapsedLevelsAreSubtotals="1" fieldPosition="0">
        <references count="1">
          <reference field="33" count="1">
            <x v="6"/>
          </reference>
        </references>
      </pivotArea>
    </format>
    <format dxfId="198">
      <pivotArea collapsedLevelsAreSubtotals="1" fieldPosition="0">
        <references count="1">
          <reference field="33" count="1">
            <x v="7"/>
          </reference>
        </references>
      </pivotArea>
    </format>
    <format dxfId="197">
      <pivotArea collapsedLevelsAreSubtotals="1" fieldPosition="0">
        <references count="1">
          <reference field="33" count="1">
            <x v="8"/>
          </reference>
        </references>
      </pivotArea>
    </format>
    <format dxfId="196">
      <pivotArea collapsedLevelsAreSubtotals="1" fieldPosition="0">
        <references count="1">
          <reference field="33" count="1">
            <x v="9"/>
          </reference>
        </references>
      </pivotArea>
    </format>
    <format dxfId="195">
      <pivotArea collapsedLevelsAreSubtotals="1" fieldPosition="0">
        <references count="1">
          <reference field="33" count="1">
            <x v="10"/>
          </reference>
        </references>
      </pivotArea>
    </format>
    <format dxfId="194">
      <pivotArea collapsedLevelsAreSubtotals="1" fieldPosition="0">
        <references count="1">
          <reference field="33" count="1">
            <x v="12"/>
          </reference>
        </references>
      </pivotArea>
    </format>
    <format dxfId="193">
      <pivotArea dataOnly="0" labelOnly="1" outline="0" axis="axisValues" fieldPosition="0"/>
    </format>
    <format dxfId="192">
      <pivotArea outline="0" collapsedLevelsAreSubtotals="1" fieldPosition="0"/>
    </format>
    <format dxfId="191">
      <pivotArea dataOnly="0" labelOnly="1" outline="0" axis="axisValues" fieldPosition="0"/>
    </format>
    <format dxfId="190">
      <pivotArea field="33" type="button" dataOnly="0" labelOnly="1" outline="0" axis="axisRow" fieldPosition="0"/>
    </format>
    <format dxfId="189">
      <pivotArea dataOnly="0" labelOnly="1" fieldPosition="0">
        <references count="1">
          <reference field="33" count="5">
            <x v="7"/>
            <x v="8"/>
            <x v="9"/>
            <x v="10"/>
            <x v="12"/>
          </reference>
        </references>
      </pivotArea>
    </format>
    <format dxfId="188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839"/>
            <customFilter operator="lessThanOrEqual" val="460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0D412-E5EE-4D05-B4A8-A1D956405987}" name="Tabela dinâmica2" cacheId="0" applyNumberFormats="0" applyBorderFormats="0" applyFontFormats="0" applyPatternFormats="0" applyAlignmentFormats="0" applyWidthHeightFormats="1" dataCaption="Valores" grandTotalCaption="Total 1º Semestre" updatedVersion="8" minRefreshableVersion="3" useAutoFormatting="1" itemPrintTitles="1" createdVersion="8" indent="0" outline="1" outlineData="1" multipleFieldFilters="0" rowHeaderCaption="1º Semestre">
  <location ref="A3:C9" firstHeaderRow="0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dataField="1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R$ Valor Previsto" fld="23" baseField="31" baseItem="2" numFmtId="44"/>
    <dataField name="Valor Executado" fld="25" baseField="0" baseItem="0" numFmtId="44"/>
  </dataFields>
  <formats count="26">
    <format dxfId="239">
      <pivotArea collapsedLevelsAreSubtotals="1" fieldPosition="0">
        <references count="1">
          <reference field="33" count="1">
            <x v="2"/>
          </reference>
        </references>
      </pivotArea>
    </format>
    <format dxfId="238">
      <pivotArea collapsedLevelsAreSubtotals="1" fieldPosition="0">
        <references count="1">
          <reference field="33" count="1">
            <x v="3"/>
          </reference>
        </references>
      </pivotArea>
    </format>
    <format dxfId="237">
      <pivotArea collapsedLevelsAreSubtotals="1" fieldPosition="0">
        <references count="1">
          <reference field="33" count="1">
            <x v="4"/>
          </reference>
        </references>
      </pivotArea>
    </format>
    <format dxfId="236">
      <pivotArea collapsedLevelsAreSubtotals="1" fieldPosition="0">
        <references count="1">
          <reference field="33" count="1">
            <x v="5"/>
          </reference>
        </references>
      </pivotArea>
    </format>
    <format dxfId="235">
      <pivotArea collapsedLevelsAreSubtotals="1" fieldPosition="0">
        <references count="1">
          <reference field="33" count="1">
            <x v="6"/>
          </reference>
        </references>
      </pivotArea>
    </format>
    <format dxfId="234">
      <pivotArea collapsedLevelsAreSubtotals="1" fieldPosition="0">
        <references count="1">
          <reference field="33" count="1">
            <x v="7"/>
          </reference>
        </references>
      </pivotArea>
    </format>
    <format dxfId="233">
      <pivotArea collapsedLevelsAreSubtotals="1" fieldPosition="0">
        <references count="1">
          <reference field="33" count="1">
            <x v="8"/>
          </reference>
        </references>
      </pivotArea>
    </format>
    <format dxfId="232">
      <pivotArea collapsedLevelsAreSubtotals="1" fieldPosition="0">
        <references count="1">
          <reference field="33" count="1">
            <x v="9"/>
          </reference>
        </references>
      </pivotArea>
    </format>
    <format dxfId="231">
      <pivotArea collapsedLevelsAreSubtotals="1" fieldPosition="0">
        <references count="1">
          <reference field="33" count="1">
            <x v="10"/>
          </reference>
        </references>
      </pivotArea>
    </format>
    <format dxfId="230">
      <pivotArea collapsedLevelsAreSubtotals="1" fieldPosition="0">
        <references count="1">
          <reference field="33" count="1">
            <x v="12"/>
          </reference>
        </references>
      </pivotArea>
    </format>
    <format dxfId="229">
      <pivotArea collapsedLevelsAreSubtotals="1" fieldPosition="0">
        <references count="1">
          <reference field="33" count="1">
            <x v="2"/>
          </reference>
        </references>
      </pivotArea>
    </format>
    <format dxfId="228">
      <pivotArea collapsedLevelsAreSubtotals="1" fieldPosition="0">
        <references count="1">
          <reference field="33" count="1">
            <x v="3"/>
          </reference>
        </references>
      </pivotArea>
    </format>
    <format dxfId="227">
      <pivotArea collapsedLevelsAreSubtotals="1" fieldPosition="0">
        <references count="1">
          <reference field="33" count="1">
            <x v="4"/>
          </reference>
        </references>
      </pivotArea>
    </format>
    <format dxfId="226">
      <pivotArea collapsedLevelsAreSubtotals="1" fieldPosition="0">
        <references count="1">
          <reference field="33" count="1">
            <x v="5"/>
          </reference>
        </references>
      </pivotArea>
    </format>
    <format dxfId="225">
      <pivotArea collapsedLevelsAreSubtotals="1" fieldPosition="0">
        <references count="1">
          <reference field="33" count="1">
            <x v="6"/>
          </reference>
        </references>
      </pivotArea>
    </format>
    <format dxfId="224">
      <pivotArea collapsedLevelsAreSubtotals="1" fieldPosition="0">
        <references count="1">
          <reference field="33" count="1">
            <x v="7"/>
          </reference>
        </references>
      </pivotArea>
    </format>
    <format dxfId="223">
      <pivotArea collapsedLevelsAreSubtotals="1" fieldPosition="0">
        <references count="1">
          <reference field="33" count="1">
            <x v="8"/>
          </reference>
        </references>
      </pivotArea>
    </format>
    <format dxfId="222">
      <pivotArea collapsedLevelsAreSubtotals="1" fieldPosition="0">
        <references count="1">
          <reference field="33" count="1">
            <x v="9"/>
          </reference>
        </references>
      </pivotArea>
    </format>
    <format dxfId="221">
      <pivotArea collapsedLevelsAreSubtotals="1" fieldPosition="0">
        <references count="1">
          <reference field="33" count="1">
            <x v="10"/>
          </reference>
        </references>
      </pivotArea>
    </format>
    <format dxfId="220">
      <pivotArea collapsedLevelsAreSubtotals="1" fieldPosition="0">
        <references count="1">
          <reference field="33" count="1">
            <x v="12"/>
          </reference>
        </references>
      </pivotArea>
    </format>
    <format dxfId="219">
      <pivotArea dataOnly="0" labelOnly="1" outline="0" axis="axisValues" fieldPosition="0"/>
    </format>
    <format dxfId="218">
      <pivotArea outline="0" collapsedLevelsAreSubtotals="1" fieldPosition="0"/>
    </format>
    <format dxfId="217">
      <pivotArea dataOnly="0" labelOnly="1" outline="0" axis="axisValues" fieldPosition="0"/>
    </format>
    <format dxfId="216">
      <pivotArea field="33" type="button" dataOnly="0" labelOnly="1" outline="0" axis="axisRow" fieldPosition="0"/>
    </format>
    <format dxfId="215">
      <pivotArea dataOnly="0" labelOnly="1" fieldPosition="0">
        <references count="1">
          <reference field="33" count="5">
            <x v="2"/>
            <x v="3"/>
            <x v="4"/>
            <x v="5"/>
            <x v="6"/>
          </reference>
        </references>
      </pivotArea>
    </format>
    <format dxfId="214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832D17-E77C-4EBD-BC7D-F3343B731044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Fonte Pagadora / Certificação">
  <location ref="H2:I12" firstHeaderRow="1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axis="axisRow" dataField="1" showAll="0">
      <items count="7">
        <item x="1"/>
        <item x="3"/>
        <item m="1" x="4"/>
        <item x="0"/>
        <item m="1" x="5"/>
        <item x="2"/>
        <item t="default"/>
      </items>
    </pivotField>
    <pivotField axis="axisRow" showAll="0">
      <items count="7">
        <item x="1"/>
        <item x="3"/>
        <item m="1" x="4"/>
        <item x="0"/>
        <item m="1" x="5"/>
        <item x="2"/>
        <item t="default"/>
      </items>
    </pivotField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28"/>
    <field x="29"/>
  </rowFields>
  <rowItems count="10">
    <i>
      <x/>
    </i>
    <i r="1">
      <x/>
    </i>
    <i r="1">
      <x v="3"/>
    </i>
    <i>
      <x v="1"/>
    </i>
    <i r="1">
      <x v="1"/>
    </i>
    <i>
      <x v="3"/>
    </i>
    <i r="1">
      <x v="3"/>
    </i>
    <i>
      <x v="5"/>
    </i>
    <i r="1">
      <x v="5"/>
    </i>
    <i t="grand">
      <x/>
    </i>
  </rowItems>
  <colItems count="1">
    <i/>
  </colItems>
  <dataFields count="1">
    <dataField name="Quant. de Cursos" fld="28" subtotal="count" baseField="0" baseItem="0"/>
  </dataFields>
  <formats count="12">
    <format dxfId="251">
      <pivotArea field="28" type="button" dataOnly="0" labelOnly="1" outline="0" axis="axisRow" fieldPosition="0"/>
    </format>
    <format dxfId="250">
      <pivotArea dataOnly="0" labelOnly="1" fieldPosition="0">
        <references count="1">
          <reference field="28" count="0"/>
        </references>
      </pivotArea>
    </format>
    <format dxfId="249">
      <pivotArea dataOnly="0" labelOnly="1" grandRow="1" outline="0" fieldPosition="0"/>
    </format>
    <format dxfId="248">
      <pivotArea dataOnly="0" labelOnly="1" fieldPosition="0">
        <references count="2">
          <reference field="28" count="1" selected="0">
            <x v="0"/>
          </reference>
          <reference field="29" count="2">
            <x v="0"/>
            <x v="3"/>
          </reference>
        </references>
      </pivotArea>
    </format>
    <format dxfId="247">
      <pivotArea dataOnly="0" labelOnly="1" fieldPosition="0">
        <references count="2">
          <reference field="28" count="1" selected="0">
            <x v="1"/>
          </reference>
          <reference field="29" count="1">
            <x v="1"/>
          </reference>
        </references>
      </pivotArea>
    </format>
    <format dxfId="246">
      <pivotArea dataOnly="0" labelOnly="1" fieldPosition="0">
        <references count="2">
          <reference field="28" count="1" selected="0">
            <x v="2"/>
          </reference>
          <reference field="29" count="1">
            <x v="2"/>
          </reference>
        </references>
      </pivotArea>
    </format>
    <format dxfId="245">
      <pivotArea dataOnly="0" labelOnly="1" fieldPosition="0">
        <references count="2">
          <reference field="28" count="1" selected="0">
            <x v="3"/>
          </reference>
          <reference field="29" count="1">
            <x v="3"/>
          </reference>
        </references>
      </pivotArea>
    </format>
    <format dxfId="244">
      <pivotArea dataOnly="0" labelOnly="1" outline="0" axis="axisValues" fieldPosition="0"/>
    </format>
    <format dxfId="243">
      <pivotArea outline="0" collapsedLevelsAreSubtotals="1" fieldPosition="0"/>
    </format>
    <format dxfId="242">
      <pivotArea dataOnly="0" labelOnly="1" outline="0" axis="axisValues" fieldPosition="0"/>
    </format>
    <format dxfId="241">
      <pivotArea outline="0" collapsedLevelsAreSubtotals="1" fieldPosition="0"/>
    </format>
    <format dxfId="24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C7FCD-3096-492B-AAC2-425B82900963}" name="Tabela dinâmica5" cacheId="0" applyNumberFormats="0" applyBorderFormats="0" applyFontFormats="0" applyPatternFormats="0" applyAlignmentFormats="0" applyWidthHeightFormats="1" dataCaption="Valores" grandTotalCaption="Total 1º Sem." updatedVersion="8" minRefreshableVersion="3" useAutoFormatting="1" itemPrintTitles="1" createdVersion="8" indent="0" outline="1" outlineData="1" multipleFieldFilters="0" rowHeaderCaption="1º Semestre">
  <location ref="E3:F9" firstHeaderRow="1" firstDataRow="1" firstDataCol="1"/>
  <pivotFields count="36">
    <pivotField showAll="0"/>
    <pivotField dataField="1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rsos" fld="1" subtotal="count" baseField="0" baseItem="0" numFmtId="1"/>
  </dataFields>
  <formats count="28">
    <format dxfId="279">
      <pivotArea collapsedLevelsAreSubtotals="1" fieldPosition="0">
        <references count="1">
          <reference field="33" count="1">
            <x v="2"/>
          </reference>
        </references>
      </pivotArea>
    </format>
    <format dxfId="278">
      <pivotArea collapsedLevelsAreSubtotals="1" fieldPosition="0">
        <references count="1">
          <reference field="33" count="1">
            <x v="3"/>
          </reference>
        </references>
      </pivotArea>
    </format>
    <format dxfId="277">
      <pivotArea collapsedLevelsAreSubtotals="1" fieldPosition="0">
        <references count="1">
          <reference field="33" count="1">
            <x v="4"/>
          </reference>
        </references>
      </pivotArea>
    </format>
    <format dxfId="276">
      <pivotArea collapsedLevelsAreSubtotals="1" fieldPosition="0">
        <references count="1">
          <reference field="33" count="1">
            <x v="5"/>
          </reference>
        </references>
      </pivotArea>
    </format>
    <format dxfId="275">
      <pivotArea collapsedLevelsAreSubtotals="1" fieldPosition="0">
        <references count="1">
          <reference field="33" count="1">
            <x v="6"/>
          </reference>
        </references>
      </pivotArea>
    </format>
    <format dxfId="274">
      <pivotArea collapsedLevelsAreSubtotals="1" fieldPosition="0">
        <references count="1">
          <reference field="33" count="1">
            <x v="7"/>
          </reference>
        </references>
      </pivotArea>
    </format>
    <format dxfId="273">
      <pivotArea collapsedLevelsAreSubtotals="1" fieldPosition="0">
        <references count="1">
          <reference field="33" count="1">
            <x v="8"/>
          </reference>
        </references>
      </pivotArea>
    </format>
    <format dxfId="272">
      <pivotArea collapsedLevelsAreSubtotals="1" fieldPosition="0">
        <references count="1">
          <reference field="33" count="1">
            <x v="9"/>
          </reference>
        </references>
      </pivotArea>
    </format>
    <format dxfId="271">
      <pivotArea collapsedLevelsAreSubtotals="1" fieldPosition="0">
        <references count="1">
          <reference field="33" count="1">
            <x v="10"/>
          </reference>
        </references>
      </pivotArea>
    </format>
    <format dxfId="270">
      <pivotArea collapsedLevelsAreSubtotals="1" fieldPosition="0">
        <references count="1">
          <reference field="33" count="1">
            <x v="12"/>
          </reference>
        </references>
      </pivotArea>
    </format>
    <format dxfId="269">
      <pivotArea collapsedLevelsAreSubtotals="1" fieldPosition="0">
        <references count="1">
          <reference field="33" count="1">
            <x v="2"/>
          </reference>
        </references>
      </pivotArea>
    </format>
    <format dxfId="268">
      <pivotArea collapsedLevelsAreSubtotals="1" fieldPosition="0">
        <references count="1">
          <reference field="33" count="1">
            <x v="3"/>
          </reference>
        </references>
      </pivotArea>
    </format>
    <format dxfId="267">
      <pivotArea collapsedLevelsAreSubtotals="1" fieldPosition="0">
        <references count="1">
          <reference field="33" count="1">
            <x v="4"/>
          </reference>
        </references>
      </pivotArea>
    </format>
    <format dxfId="266">
      <pivotArea collapsedLevelsAreSubtotals="1" fieldPosition="0">
        <references count="1">
          <reference field="33" count="1">
            <x v="5"/>
          </reference>
        </references>
      </pivotArea>
    </format>
    <format dxfId="265">
      <pivotArea collapsedLevelsAreSubtotals="1" fieldPosition="0">
        <references count="1">
          <reference field="33" count="1">
            <x v="6"/>
          </reference>
        </references>
      </pivotArea>
    </format>
    <format dxfId="264">
      <pivotArea collapsedLevelsAreSubtotals="1" fieldPosition="0">
        <references count="1">
          <reference field="33" count="1">
            <x v="7"/>
          </reference>
        </references>
      </pivotArea>
    </format>
    <format dxfId="263">
      <pivotArea collapsedLevelsAreSubtotals="1" fieldPosition="0">
        <references count="1">
          <reference field="33" count="1">
            <x v="8"/>
          </reference>
        </references>
      </pivotArea>
    </format>
    <format dxfId="262">
      <pivotArea collapsedLevelsAreSubtotals="1" fieldPosition="0">
        <references count="1">
          <reference field="33" count="1">
            <x v="9"/>
          </reference>
        </references>
      </pivotArea>
    </format>
    <format dxfId="261">
      <pivotArea collapsedLevelsAreSubtotals="1" fieldPosition="0">
        <references count="1">
          <reference field="33" count="1">
            <x v="10"/>
          </reference>
        </references>
      </pivotArea>
    </format>
    <format dxfId="260">
      <pivotArea collapsedLevelsAreSubtotals="1" fieldPosition="0">
        <references count="1">
          <reference field="33" count="1">
            <x v="12"/>
          </reference>
        </references>
      </pivotArea>
    </format>
    <format dxfId="259">
      <pivotArea dataOnly="0" labelOnly="1" outline="0" axis="axisValues" fieldPosition="0"/>
    </format>
    <format dxfId="258">
      <pivotArea field="33" type="button" dataOnly="0" labelOnly="1" outline="0" axis="axisRow" fieldPosition="0"/>
    </format>
    <format dxfId="257">
      <pivotArea dataOnly="0" labelOnly="1" fieldPosition="0">
        <references count="1">
          <reference field="33" count="5">
            <x v="2"/>
            <x v="3"/>
            <x v="4"/>
            <x v="5"/>
            <x v="6"/>
          </reference>
        </references>
      </pivotArea>
    </format>
    <format dxfId="256">
      <pivotArea dataOnly="0" labelOnly="1" grandRow="1" outline="0" fieldPosition="0"/>
    </format>
    <format dxfId="255">
      <pivotArea outline="0" collapsedLevelsAreSubtotals="1" fieldPosition="0"/>
    </format>
    <format dxfId="254">
      <pivotArea dataOnly="0" labelOnly="1" outline="0" axis="axisValues" fieldPosition="0"/>
    </format>
    <format dxfId="253">
      <pivotArea outline="0" collapsedLevelsAreSubtotals="1" fieldPosition="0"/>
    </format>
    <format dxfId="252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7904B2-B946-4510-A197-8703ED56128B}" name="Planejamento2025" displayName="Planejamento2025" ref="A1:AG80" totalsRowCount="1" headerRowDxfId="151" dataDxfId="150" totalsRowDxfId="148" tableBorderDxfId="149" headerRowCellStyle="Moeda">
  <sortState xmlns:xlrd2="http://schemas.microsoft.com/office/spreadsheetml/2017/richdata2" ref="A2:AG79">
    <sortCondition ref="S1:S79"/>
  </sortState>
  <tableColumns count="33">
    <tableColumn id="1" xr3:uid="{2A7FB6E3-45C9-4776-BDB3-BCCB48F476F7}" name="ID" totalsRowLabel="Total" dataDxfId="65" totalsRowDxfId="32">
      <calculatedColumnFormula>CONCATENATE(MID(Planejamento2025[[#This Row],[Curso]],1,3),IF(ISERROR(FIND(" ",Planejamento2025[[#This Row],[Curso]]))," ",MID(Planejamento2025[[#This Row],[Curso]],FIND(" ",Planejamento2025[[#This Row],[Curso]])+1,3)),"_",Planejamento2025[[#This Row],[Turma]])</calculatedColumnFormula>
    </tableColumn>
    <tableColumn id="27" xr3:uid="{6B0D587C-F10C-41E7-9B7B-AF0678CF3790}" name="Curso" dataDxfId="64" totalsRowDxfId="31"/>
    <tableColumn id="22" xr3:uid="{03B0334C-3103-46D1-9524-1B7A811A9C5B}" name="Turma" dataDxfId="63" totalsRowDxfId="30"/>
    <tableColumn id="30" xr3:uid="{AE948042-FA80-4B81-92DC-17402E447D9B}" name="Período" dataDxfId="62" totalsRowDxfId="29"/>
    <tableColumn id="24" xr3:uid="{8C1F7810-1AEA-455B-ABB0-06F8866A1675}" name="Área" dataDxfId="61" totalsRowDxfId="28"/>
    <tableColumn id="25" xr3:uid="{F1C48A93-B8E0-4E9C-82A9-1A1A762232DE}" name="Nível" dataDxfId="60" totalsRowDxfId="27"/>
    <tableColumn id="26" xr3:uid="{3B81635C-19FE-4FB4-9A9A-90F1E4044A08}" name="Professor" dataDxfId="59" totalsRowDxfId="26"/>
    <tableColumn id="2" xr3:uid="{A68D6E34-A802-4A45-BED9-E6B156E8F5A2}" name="Carga Horária" dataDxfId="58" totalsRowDxfId="25"/>
    <tableColumn id="9" xr3:uid="{EA6E5E63-2AC1-48CF-BA02-7D49F4125BD1}" name="Seg" dataDxfId="57" totalsRowDxfId="24"/>
    <tableColumn id="20" xr3:uid="{71A23B8F-4A63-40E4-98CE-45AE14E848C0}" name="Ter" dataDxfId="56" totalsRowDxfId="23"/>
    <tableColumn id="19" xr3:uid="{9FDA491C-E498-4D0E-AB9B-D497FE28D9EC}" name="Qua" dataDxfId="55" totalsRowDxfId="22"/>
    <tableColumn id="21" xr3:uid="{0ABE7EA7-1E98-4078-BB3C-C0EFDD7797EC}" name="Qui" dataDxfId="54" totalsRowDxfId="21"/>
    <tableColumn id="18" xr3:uid="{BAC0E853-E6EC-42F3-B5EB-FF3373484EA0}" name="Sex" dataDxfId="53" totalsRowDxfId="20"/>
    <tableColumn id="28" xr3:uid="{3C1E755C-7C35-4EF0-8E36-CFBFB7AABB66}" name="Padrão" dataDxfId="52" totalsRowDxfId="19">
      <calculatedColumnFormula>IF(I2="X","0","1")&amp;IF(J2="X","0","1")&amp;IF(K2="X","0","1")&amp;IF(L2="X","0","1")&amp;IF(M2="X","0","1")&amp;"11"</calculatedColumnFormula>
    </tableColumn>
    <tableColumn id="11" xr3:uid="{649C2C2C-2559-4F68-8A7F-57CB47CDE97A}" name="Entrada" dataDxfId="51" totalsRowDxfId="18"/>
    <tableColumn id="10" xr3:uid="{CB609F23-A8DC-4D92-876C-D8F60ED9DC43}" name="Saída" dataDxfId="50" totalsRowDxfId="17"/>
    <tableColumn id="13" xr3:uid="{45F56C81-02DC-4868-8A2F-380D28E78B3A}" name="Carga Horária / dia" dataDxfId="49" totalsRowDxfId="16">
      <calculatedColumnFormula>Planejamento2025[[#This Row],[Saída]]-Planejamento2025[[#This Row],[Entrada]]</calculatedColumnFormula>
    </tableColumn>
    <tableColumn id="14" xr3:uid="{78C1D71A-3E0C-475E-8D03-1A42CDEE2E80}" name="Dias Letivos" dataDxfId="48" totalsRowDxfId="15">
      <calculatedColumnFormula>Planejamento2025[[#This Row],[Carga Horária]]/Q2</calculatedColumnFormula>
    </tableColumn>
    <tableColumn id="16" xr3:uid="{15781A11-EFCF-491C-90FA-86A6E2A2B6B1}" name="Início" dataDxfId="47" totalsRowDxfId="14"/>
    <tableColumn id="15" xr3:uid="{E7CA744C-2835-4D8A-868D-8EDBFE26202C}" name="Fim" dataDxfId="46" totalsRowDxfId="13">
      <calculatedColumnFormula>WORKDAY.INTL(S2,R2,Planejamento2025[[#This Row],[Padrão]],Calendário!$R$4:$R$35)</calculatedColumnFormula>
    </tableColumn>
    <tableColumn id="3" xr3:uid="{6365F4E0-3F52-4E0B-80DD-CC5C3B911653}" name="Público" dataDxfId="45" totalsRowDxfId="12"/>
    <tableColumn id="4" xr3:uid="{2FC8AF98-B57E-452A-8709-CE1848A6A8E2}" name="Capac. Máx." totalsRowFunction="sum" dataDxfId="44" totalsRowDxfId="11"/>
    <tableColumn id="5" xr3:uid="{6DDAC303-518C-4827-981E-266D1B49860E}" name="Valor/ Hora" dataDxfId="43" totalsRowDxfId="10" dataCellStyle="Moeda"/>
    <tableColumn id="6" xr3:uid="{F0A44D9B-8F88-4DFA-B292-F1F3F81327DB}" name="Valor Previsto" totalsRowFunction="sum" dataDxfId="42" totalsRowDxfId="9" dataCellStyle="Moeda">
      <calculatedColumnFormula>IF(Planejamento2025[[#This Row],[Fonte Pagadora]]="Anna de Moura",(W2*H2*24),"R$ 0,00")</calculatedColumnFormula>
    </tableColumn>
    <tableColumn id="29" xr3:uid="{B0E61B98-D616-477D-AA0C-4C3CB4DF04CC}" name="Contribuição" totalsRowFunction="sum" dataDxfId="41" totalsRowDxfId="8" dataCellStyle="Moeda"/>
    <tableColumn id="31" xr3:uid="{75921EFE-C80B-45E2-B3EE-8E43FC30830F}" name="Valor RH" totalsRowFunction="sum" dataDxfId="40" totalsRowDxfId="7" dataCellStyle="Moeda">
      <calculatedColumnFormula>INDEX(Tabela1[Valor RH / Executado],MATCH(Planejamento2025[[#This Row],[ID]],Tabela1[ID],0))</calculatedColumnFormula>
    </tableColumn>
    <tableColumn id="23" xr3:uid="{1C36B7C4-F8E8-4C54-8059-5B331DABF4BB}" name="Valor Insumo" totalsRowFunction="sum" dataDxfId="39" totalsRowDxfId="6" dataCellStyle="Moeda">
      <calculatedColumnFormula>INDEX(Tabela1[Valor Insumo / Executado],MATCH(Planejamento2025[[#This Row],[ID]],Tabela1[ID],0))</calculatedColumnFormula>
    </tableColumn>
    <tableColumn id="8" xr3:uid="{3D993881-620B-439E-B811-D258743C401A}" name="Status" totalsRowFunction="sum" dataDxfId="38" totalsRowDxfId="5" dataCellStyle="Moeda">
      <calculatedColumnFormula>IF(TODAY()&lt;Planejamento2025[[#This Row],[Início]],"Aguardando",IF(AND(TODAY()&gt;=Planejamento2025[[#This Row],[Início]],TODAY()&lt;=Planejamento2025[[#This Row],[Fim]]),"Em andamento","Finalizado"))</calculatedColumnFormula>
    </tableColumn>
    <tableColumn id="7" xr3:uid="{0A88C945-3635-45AC-8819-2A1CB8C5C2BB}" name="Fonte Pagadora" totalsRowFunction="sum" dataDxfId="37" totalsRowDxfId="4"/>
    <tableColumn id="17" xr3:uid="{742B45F6-9A3A-4C36-BEF0-AA87983A3C25}" name="Certificação" totalsRowFunction="sum" dataDxfId="36" totalsRowDxfId="3"/>
    <tableColumn id="12" xr3:uid="{3AB6213F-7845-4304-B888-B91C58802168}" name="Tipo de Contrato" dataDxfId="35" totalsRowDxfId="2">
      <calculatedColumnFormula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calculatedColumnFormula>
    </tableColumn>
    <tableColumn id="33" xr3:uid="{8D297B9F-88FC-4412-B0C0-1DC9BAE995D6}" name="Sala" dataDxfId="34" totalsRowDxfId="1"/>
    <tableColumn id="32" xr3:uid="{90B1EAD6-F7F8-49B2-8547-802DE1C6C18E}" name="Coluna1" dataDxfId="33" totalsRowDxfId="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716407-8BE6-4561-A9AF-F143086DB49C}" name="Tabela1" displayName="Tabela1" ref="A2:E80" totalsRowCount="1" tableBorderDxfId="146">
  <autoFilter ref="A2:E79" xr:uid="{91716407-8BE6-4561-A9AF-F143086DB49C}"/>
  <tableColumns count="5">
    <tableColumn id="1" xr3:uid="{F893D9A6-8A57-4073-97BB-BE66D67D089C}" name="ID" dataDxfId="145" totalsRowDxfId="144">
      <calculatedColumnFormula>Planejamento2025[[#This Row],[ID]]</calculatedColumnFormula>
    </tableColumn>
    <tableColumn id="2" xr3:uid="{E7097462-A5A6-410C-B480-11DDCA168A01}" name="Curso" dataDxfId="143" totalsRowDxfId="142">
      <calculatedColumnFormula>IFERROR(VLOOKUP(A3,Planejamento2025[[#Data],[#Totals]],2,FALSE),0)</calculatedColumnFormula>
    </tableColumn>
    <tableColumn id="3" xr3:uid="{22E34863-1F98-41E6-AF72-265B258DF16B}" name="Valor Previsto" totalsRowFunction="sum" dataDxfId="141" totalsRowDxfId="140" dataCellStyle="Moeda">
      <calculatedColumnFormula>IFERROR(VLOOKUP(A3,Planejamento2025[[#Data],[#Totals]],24,FALSE),0)</calculatedColumnFormula>
    </tableColumn>
    <tableColumn id="4" xr3:uid="{C6D36B8C-E142-4CA2-9FA3-DC3FE5890184}" name="Valor RH / Executado" totalsRowFunction="sum" dataDxfId="139" totalsRowDxfId="138" dataCellStyle="Moeda">
      <calculatedColumnFormula>IFERROR(VLOOKUP(A3,'RH '!$A$4:$I$27,9,FALSE),0)</calculatedColumnFormula>
    </tableColumn>
    <tableColumn id="5" xr3:uid="{B848DB12-6F72-46C4-BD57-C82424DD67FA}" name="Valor Insumo / Executado" totalsRowFunction="sum" dataDxfId="137" totalsRowDxfId="136" dataCellStyle="Moeda">
      <calculatedColumnFormula>IFERROR(VLOOKUP(A3,Insumos!$A$3:$I$10,9,FALSE),0)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177762-91EE-46D3-A4EA-58A280ABC97D}" name="Tabela1453" displayName="Tabela1453" ref="A2:AB30" totalsRowCount="1" headerRowDxfId="125" dataDxfId="124" totalsRowDxfId="122" tableBorderDxfId="123" headerRowCellStyle="Moeda">
  <autoFilter ref="A2:AB29" xr:uid="{5C887F2B-ACFF-4318-9C53-88308DAE83D4}"/>
  <sortState xmlns:xlrd2="http://schemas.microsoft.com/office/spreadsheetml/2017/richdata2" ref="A2:AB3">
    <sortCondition ref="A2"/>
  </sortState>
  <tableColumns count="28">
    <tableColumn id="1" xr3:uid="{3E88CEEC-DFD2-49E4-BB3A-9EFCEB81DBD3}" name="ID" totalsRowLabel="Total" dataDxfId="121" totalsRowDxfId="120">
      <calculatedColumnFormula>CONCATENATE(LEFT(Tabela1453[[#This Row],[Nível]],1),"_",MID(Tabela1453[[#This Row],[Curso]],1,1),IF(ISERROR(FIND(" ",Tabela1453[[#This Row],[Curso]]))," ",MID(Tabela1453[[#This Row],[Curso]],FIND(" ",Tabela1453[[#This Row],[Curso]])+1,1)))</calculatedColumnFormula>
    </tableColumn>
    <tableColumn id="27" xr3:uid="{C2C34CD6-AAD8-43C2-BF03-1F39ACB1FD7C}" name="Curso" dataDxfId="119" totalsRowDxfId="118"/>
    <tableColumn id="22" xr3:uid="{0D784101-3ABA-4DF3-894C-54EB1B7A680F}" name="Turma" dataDxfId="117" totalsRowDxfId="116"/>
    <tableColumn id="24" xr3:uid="{57F369E1-AFF2-4ABB-AC53-449712926A9F}" name="Área" dataDxfId="115" totalsRowDxfId="114"/>
    <tableColumn id="25" xr3:uid="{944A4CCC-296F-42FE-A55D-D1A3E28A4108}" name="Nível" dataDxfId="113" totalsRowDxfId="112"/>
    <tableColumn id="26" xr3:uid="{B62E03B0-AA5E-46BF-9329-1120A1621A90}" name="Professor" dataDxfId="111" totalsRowDxfId="110"/>
    <tableColumn id="2" xr3:uid="{E0C6547E-3F31-402D-AFC0-E2DB7743A598}" name="Carga Horária" dataDxfId="109" totalsRowDxfId="108"/>
    <tableColumn id="8" xr3:uid="{8C542B57-049A-497E-A48B-79E47C25EF95}" name="Duração" dataDxfId="107" totalsRowDxfId="106"/>
    <tableColumn id="9" xr3:uid="{E6279171-30FB-4A8C-AB6C-2BB83641F258}" name="Seg" dataDxfId="105" totalsRowDxfId="104"/>
    <tableColumn id="20" xr3:uid="{2789A117-5E25-4776-A952-39B5CF3597DF}" name="Ter" dataDxfId="103" totalsRowDxfId="102"/>
    <tableColumn id="19" xr3:uid="{6AC672E0-1D6F-4778-A9C0-EF4C49A211CF}" name="Qua" dataDxfId="101" totalsRowDxfId="100"/>
    <tableColumn id="21" xr3:uid="{2FE34D11-BE6A-4B3D-AE2D-4D12BB25E588}" name="Qui" dataDxfId="99" totalsRowDxfId="98"/>
    <tableColumn id="18" xr3:uid="{BC413294-42D6-4E50-A9CE-A86718A7E8F4}" name="Sex" dataDxfId="97" totalsRowDxfId="96"/>
    <tableColumn id="28" xr3:uid="{26846101-3EEB-436B-B795-E031044C5A79}" name="Padrão" dataDxfId="95" totalsRowDxfId="94">
      <calculatedColumnFormula>IF(I3="X","0","1")&amp;IF(J3="X","0","1")&amp;IF(K3="X","0","1")&amp;IF(L3="X","0","1")&amp;IF(M3="X","0","1")&amp;"11"</calculatedColumnFormula>
    </tableColumn>
    <tableColumn id="11" xr3:uid="{3161848D-CC84-4C4C-95D5-61EAE867EF95}" name="Entrada" dataDxfId="93" totalsRowDxfId="92"/>
    <tableColumn id="10" xr3:uid="{F4E23EA3-6809-4D8B-83E2-F3630C483AB3}" name="Saída" dataDxfId="91" totalsRowDxfId="90"/>
    <tableColumn id="13" xr3:uid="{AAC49D24-D833-4679-8E56-1820FC90D4EC}" name="Carga Horária / dia" dataDxfId="89" totalsRowDxfId="88">
      <calculatedColumnFormula>Tabela1453[[#This Row],[Saída]]-Tabela1453[[#This Row],[Entrada]]</calculatedColumnFormula>
    </tableColumn>
    <tableColumn id="14" xr3:uid="{D591FB04-E65D-4987-A5E0-9F0A6C7EB5B0}" name="Dias Letivos" dataDxfId="87" totalsRowDxfId="86">
      <calculatedColumnFormula>Tabela1453[[#This Row],[Carga Horária]]/Q3</calculatedColumnFormula>
    </tableColumn>
    <tableColumn id="16" xr3:uid="{C187C1B9-B6F7-4E6E-B860-5E329B136435}" name="Início" dataDxfId="85" totalsRowDxfId="84"/>
    <tableColumn id="15" xr3:uid="{8A65B024-76CF-4ADF-A206-1A325B202387}" name="Fim" dataDxfId="83" totalsRowDxfId="82">
      <calculatedColumnFormula>WORKDAY.INTL(S3-1,R3,Tabela1453[[#This Row],[Padrão]],Calendário!$R$4:$R$35)</calculatedColumnFormula>
    </tableColumn>
    <tableColumn id="3" xr3:uid="{FFEADEC7-0FE5-45D1-A379-E1BCD96EB360}" name="Público" dataDxfId="81" totalsRowDxfId="80"/>
    <tableColumn id="4" xr3:uid="{42F36DA5-2CD5-4A84-BC27-AAA1E3E809FD}" name="Capac. Máx." totalsRowFunction="sum" dataDxfId="79" totalsRowDxfId="78"/>
    <tableColumn id="5" xr3:uid="{587758D6-316B-4F86-9445-C540C13047F1}" name="Valor/ Hora" dataDxfId="77" totalsRowDxfId="76" dataCellStyle="Moeda"/>
    <tableColumn id="6" xr3:uid="{80432689-21A8-4AB2-90B0-239F0E63D7BB}" name="Valor Previsto" totalsRowFunction="sum" dataDxfId="75" totalsRowDxfId="74" dataCellStyle="Moeda">
      <calculatedColumnFormula>IF(Tabela1453[[#This Row],[Fonte Pagadora]]="Anna de Moura",(W3*G3*24),"-")</calculatedColumnFormula>
    </tableColumn>
    <tableColumn id="23" xr3:uid="{80964B17-4124-4186-8AC9-61E433639084}" name="VALOR EXECUTADO" dataDxfId="73" totalsRowDxfId="72" dataCellStyle="Moeda"/>
    <tableColumn id="7" xr3:uid="{F353BB37-BEFD-4851-9A44-BE26F8CD96F8}" name="Fonte Pagadora" dataDxfId="71" totalsRowDxfId="70"/>
    <tableColumn id="17" xr3:uid="{675FE005-2306-4E97-A246-502CB75FFAC3}" name="Certificação" dataDxfId="69" totalsRowDxfId="68"/>
    <tableColumn id="12" xr3:uid="{7BDE65FE-70E6-4593-A26D-CBC8FA73EE9D}" name="Contrib." dataDxfId="67" totalsRowDxfId="66" dataCellStyle="Moeda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wincalendar.com/pt/Modelos-Calendario-Word" TargetMode="External"/><Relationship Id="rId1" Type="http://schemas.openxmlformats.org/officeDocument/2006/relationships/hyperlink" Target="https://www.wincalendar.com/calendario/Brasil-2025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B4C6C-7964-45C5-A88C-0A33C8C2E0F1}">
  <sheetPr codeName="Planilha7"/>
  <dimension ref="A1:I43"/>
  <sheetViews>
    <sheetView workbookViewId="0">
      <selection activeCell="C26" sqref="C26"/>
    </sheetView>
  </sheetViews>
  <sheetFormatPr defaultRowHeight="15" x14ac:dyDescent="0.25"/>
  <cols>
    <col min="1" max="1" width="16.85546875" style="4" bestFit="1" customWidth="1"/>
    <col min="2" max="2" width="16.140625" style="298" bestFit="1" customWidth="1"/>
    <col min="3" max="3" width="15.42578125" style="298" bestFit="1" customWidth="1"/>
    <col min="4" max="4" width="2.85546875" style="298" customWidth="1"/>
    <col min="5" max="5" width="14.140625" style="298" bestFit="1" customWidth="1"/>
    <col min="6" max="6" width="20.7109375" bestFit="1" customWidth="1"/>
    <col min="7" max="7" width="4.42578125" customWidth="1"/>
    <col min="8" max="8" width="19.85546875" bestFit="1" customWidth="1"/>
    <col min="9" max="9" width="9.7109375" style="48" bestFit="1" customWidth="1"/>
    <col min="10" max="11" width="7.7109375" bestFit="1" customWidth="1"/>
    <col min="12" max="14" width="12.140625" bestFit="1" customWidth="1"/>
    <col min="15" max="16" width="13.28515625" bestFit="1" customWidth="1"/>
    <col min="17" max="17" width="12.140625" bestFit="1" customWidth="1"/>
    <col min="18" max="19" width="13.28515625" bestFit="1" customWidth="1"/>
    <col min="20" max="20" width="10.5703125" bestFit="1" customWidth="1"/>
    <col min="21" max="21" width="7.7109375" bestFit="1" customWidth="1"/>
    <col min="22" max="23" width="13.28515625" bestFit="1" customWidth="1"/>
    <col min="24" max="24" width="12.140625" bestFit="1" customWidth="1"/>
    <col min="25" max="30" width="7.7109375" bestFit="1" customWidth="1"/>
    <col min="31" max="31" width="12.140625" bestFit="1" customWidth="1"/>
    <col min="32" max="32" width="7.7109375" bestFit="1" customWidth="1"/>
    <col min="33" max="34" width="12.140625" bestFit="1" customWidth="1"/>
    <col min="35" max="35" width="7.7109375" bestFit="1" customWidth="1"/>
    <col min="36" max="36" width="12.140625" bestFit="1" customWidth="1"/>
    <col min="37" max="37" width="7.7109375" bestFit="1" customWidth="1"/>
    <col min="38" max="38" width="10.5703125" bestFit="1" customWidth="1"/>
    <col min="39" max="39" width="12.140625" bestFit="1" customWidth="1"/>
    <col min="40" max="40" width="10.5703125" bestFit="1" customWidth="1"/>
    <col min="41" max="41" width="13.28515625" bestFit="1" customWidth="1"/>
    <col min="42" max="43" width="12.140625" bestFit="1" customWidth="1"/>
    <col min="44" max="46" width="7.7109375" bestFit="1" customWidth="1"/>
    <col min="47" max="47" width="13.28515625" bestFit="1" customWidth="1"/>
  </cols>
  <sheetData>
    <row r="1" spans="1:9" x14ac:dyDescent="0.25">
      <c r="A1" s="424" t="s">
        <v>75</v>
      </c>
      <c r="B1" s="424"/>
      <c r="C1" s="424"/>
      <c r="D1" s="424"/>
      <c r="E1" s="424"/>
      <c r="F1" s="424"/>
    </row>
    <row r="2" spans="1:9" ht="30" x14ac:dyDescent="0.25">
      <c r="A2" s="423" t="s">
        <v>376</v>
      </c>
      <c r="B2" s="423"/>
      <c r="C2" s="320"/>
      <c r="D2" s="320"/>
      <c r="E2" s="422" t="s">
        <v>375</v>
      </c>
      <c r="F2" s="422"/>
      <c r="H2" s="299" t="s">
        <v>340</v>
      </c>
      <c r="I2" s="215" t="s">
        <v>341</v>
      </c>
    </row>
    <row r="3" spans="1:9" x14ac:dyDescent="0.25">
      <c r="A3" s="299" t="s">
        <v>338</v>
      </c>
      <c r="B3" t="s">
        <v>332</v>
      </c>
      <c r="C3" t="s">
        <v>282</v>
      </c>
      <c r="D3" s="295"/>
      <c r="E3" s="299" t="s">
        <v>338</v>
      </c>
      <c r="F3" s="2" t="s">
        <v>375</v>
      </c>
      <c r="H3" s="227" t="s">
        <v>5</v>
      </c>
      <c r="I3" s="48">
        <v>43</v>
      </c>
    </row>
    <row r="4" spans="1:9" x14ac:dyDescent="0.25">
      <c r="A4" s="227" t="s">
        <v>322</v>
      </c>
      <c r="B4" s="296">
        <v>34865</v>
      </c>
      <c r="C4" s="296">
        <v>34620</v>
      </c>
      <c r="D4" s="296"/>
      <c r="E4" s="227" t="s">
        <v>322</v>
      </c>
      <c r="F4" s="2">
        <v>14</v>
      </c>
      <c r="H4" s="227" t="s">
        <v>5</v>
      </c>
      <c r="I4" s="48">
        <v>30</v>
      </c>
    </row>
    <row r="5" spans="1:9" x14ac:dyDescent="0.25">
      <c r="A5" s="227" t="s">
        <v>323</v>
      </c>
      <c r="B5" s="296">
        <v>20068.75</v>
      </c>
      <c r="C5" s="296">
        <v>14305.42</v>
      </c>
      <c r="D5" s="296"/>
      <c r="E5" s="227" t="s">
        <v>323</v>
      </c>
      <c r="F5" s="2">
        <v>10</v>
      </c>
      <c r="H5" s="227" t="s">
        <v>15</v>
      </c>
      <c r="I5" s="48">
        <v>13</v>
      </c>
    </row>
    <row r="6" spans="1:9" x14ac:dyDescent="0.25">
      <c r="A6" s="227" t="s">
        <v>324</v>
      </c>
      <c r="B6" s="296">
        <v>1425</v>
      </c>
      <c r="C6" s="296">
        <v>1425</v>
      </c>
      <c r="D6" s="296"/>
      <c r="E6" s="227" t="s">
        <v>324</v>
      </c>
      <c r="F6" s="2">
        <v>6</v>
      </c>
      <c r="H6" s="227" t="s">
        <v>271</v>
      </c>
      <c r="I6" s="48">
        <v>1</v>
      </c>
    </row>
    <row r="7" spans="1:9" x14ac:dyDescent="0.25">
      <c r="A7" s="227" t="s">
        <v>325</v>
      </c>
      <c r="B7" s="296">
        <v>4607.5</v>
      </c>
      <c r="C7" s="296">
        <v>4417.5</v>
      </c>
      <c r="D7" s="296"/>
      <c r="E7" s="227" t="s">
        <v>325</v>
      </c>
      <c r="F7" s="2">
        <v>8</v>
      </c>
      <c r="H7" s="227" t="s">
        <v>271</v>
      </c>
      <c r="I7" s="48">
        <v>1</v>
      </c>
    </row>
    <row r="8" spans="1:9" x14ac:dyDescent="0.25">
      <c r="A8" s="227" t="s">
        <v>326</v>
      </c>
      <c r="B8" s="296">
        <v>712.5</v>
      </c>
      <c r="C8" s="296">
        <v>712.5</v>
      </c>
      <c r="D8" s="296"/>
      <c r="E8" s="227" t="s">
        <v>326</v>
      </c>
      <c r="F8" s="2">
        <v>2</v>
      </c>
      <c r="H8" s="227" t="s">
        <v>15</v>
      </c>
      <c r="I8" s="48">
        <v>30</v>
      </c>
    </row>
    <row r="9" spans="1:9" x14ac:dyDescent="0.25">
      <c r="A9" s="227" t="s">
        <v>333</v>
      </c>
      <c r="B9" s="296">
        <v>61678.75</v>
      </c>
      <c r="C9" s="296">
        <v>55480.42</v>
      </c>
      <c r="D9" s="296"/>
      <c r="E9" s="227" t="s">
        <v>411</v>
      </c>
      <c r="F9" s="2">
        <v>40</v>
      </c>
      <c r="H9" s="227" t="s">
        <v>15</v>
      </c>
      <c r="I9" s="48">
        <v>30</v>
      </c>
    </row>
    <row r="10" spans="1:9" x14ac:dyDescent="0.25">
      <c r="B10" s="296"/>
      <c r="C10" s="296"/>
      <c r="D10" s="296"/>
      <c r="E10" s="296"/>
      <c r="H10" s="227" t="s">
        <v>408</v>
      </c>
      <c r="I10" s="48">
        <v>3</v>
      </c>
    </row>
    <row r="11" spans="1:9" x14ac:dyDescent="0.25">
      <c r="B11" s="296"/>
      <c r="C11" s="296"/>
      <c r="D11" s="296"/>
      <c r="E11" s="296"/>
      <c r="H11" s="324" t="s">
        <v>409</v>
      </c>
      <c r="I11" s="48">
        <v>3</v>
      </c>
    </row>
    <row r="12" spans="1:9" x14ac:dyDescent="0.25">
      <c r="A12" s="299" t="s">
        <v>339</v>
      </c>
      <c r="B12" t="s">
        <v>332</v>
      </c>
      <c r="C12" t="s">
        <v>282</v>
      </c>
      <c r="D12" s="295"/>
      <c r="E12" s="299" t="s">
        <v>339</v>
      </c>
      <c r="F12" s="316" t="s">
        <v>374</v>
      </c>
      <c r="H12" s="227" t="s">
        <v>272</v>
      </c>
      <c r="I12" s="48">
        <v>77</v>
      </c>
    </row>
    <row r="13" spans="1:9" x14ac:dyDescent="0.25">
      <c r="A13" s="227" t="s">
        <v>327</v>
      </c>
      <c r="B13" s="296">
        <v>19546.25</v>
      </c>
      <c r="C13" s="296">
        <v>0</v>
      </c>
      <c r="D13" s="296"/>
      <c r="E13" s="227" t="s">
        <v>327</v>
      </c>
      <c r="F13" s="315">
        <v>9</v>
      </c>
      <c r="I13"/>
    </row>
    <row r="14" spans="1:9" x14ac:dyDescent="0.25">
      <c r="A14" s="227" t="s">
        <v>328</v>
      </c>
      <c r="B14" s="296">
        <v>24290</v>
      </c>
      <c r="C14" s="296">
        <v>0</v>
      </c>
      <c r="D14" s="296"/>
      <c r="E14" s="227" t="s">
        <v>328</v>
      </c>
      <c r="F14" s="315">
        <v>14</v>
      </c>
      <c r="I14"/>
    </row>
    <row r="15" spans="1:9" x14ac:dyDescent="0.25">
      <c r="A15" s="227" t="s">
        <v>329</v>
      </c>
      <c r="B15" s="296">
        <v>855</v>
      </c>
      <c r="C15" s="296">
        <v>0</v>
      </c>
      <c r="D15" s="296"/>
      <c r="E15" s="227" t="s">
        <v>329</v>
      </c>
      <c r="F15" s="315">
        <v>4</v>
      </c>
    </row>
    <row r="16" spans="1:9" x14ac:dyDescent="0.25">
      <c r="A16" s="227" t="s">
        <v>330</v>
      </c>
      <c r="B16" s="296">
        <v>2517.5</v>
      </c>
      <c r="C16" s="296">
        <v>0</v>
      </c>
      <c r="D16" s="296"/>
      <c r="E16" s="227" t="s">
        <v>330</v>
      </c>
      <c r="F16" s="315">
        <v>6</v>
      </c>
    </row>
    <row r="17" spans="1:6" x14ac:dyDescent="0.25">
      <c r="A17" s="302" t="s">
        <v>345</v>
      </c>
      <c r="B17" s="296">
        <v>1710</v>
      </c>
      <c r="C17" s="296">
        <v>0</v>
      </c>
      <c r="D17" s="296"/>
      <c r="E17" s="302" t="s">
        <v>345</v>
      </c>
      <c r="F17" s="315">
        <v>3</v>
      </c>
    </row>
    <row r="18" spans="1:6" x14ac:dyDescent="0.25">
      <c r="A18" s="227" t="s">
        <v>331</v>
      </c>
      <c r="B18" s="296">
        <v>0</v>
      </c>
      <c r="C18" s="296">
        <v>0</v>
      </c>
      <c r="D18" s="296"/>
      <c r="E18" s="227" t="s">
        <v>331</v>
      </c>
      <c r="F18" s="315">
        <v>1</v>
      </c>
    </row>
    <row r="19" spans="1:6" x14ac:dyDescent="0.25">
      <c r="A19" s="227" t="s">
        <v>334</v>
      </c>
      <c r="B19" s="296">
        <v>48918.75</v>
      </c>
      <c r="C19" s="296">
        <v>0</v>
      </c>
      <c r="D19" s="296"/>
      <c r="E19" s="227" t="s">
        <v>13</v>
      </c>
      <c r="F19" s="315">
        <v>37</v>
      </c>
    </row>
    <row r="20" spans="1:6" ht="15.75" x14ac:dyDescent="0.25">
      <c r="A20" s="300" t="s">
        <v>335</v>
      </c>
      <c r="B20" s="297">
        <f>GETPIVOTDATA("Valor Previsto",$A$3)+GETPIVOTDATA("Valor Previsto",$A$12)</f>
        <v>110597.5</v>
      </c>
      <c r="C20" s="318"/>
      <c r="D20" s="318"/>
      <c r="E20" s="297"/>
      <c r="F20" s="317">
        <f>GETPIVOTDATA("Curso",$E$3)+GETPIVOTDATA("Curso",$E$12)</f>
        <v>77</v>
      </c>
    </row>
    <row r="21" spans="1:6" x14ac:dyDescent="0.25">
      <c r="B21" s="296"/>
      <c r="C21" s="296"/>
      <c r="D21" s="296"/>
      <c r="E21" s="296"/>
    </row>
    <row r="22" spans="1:6" ht="31.5" x14ac:dyDescent="0.25">
      <c r="A22" s="300" t="s">
        <v>336</v>
      </c>
      <c r="B22" s="321">
        <v>120000</v>
      </c>
      <c r="C22" s="318"/>
      <c r="D22" s="318"/>
      <c r="E22" s="318"/>
    </row>
    <row r="23" spans="1:6" x14ac:dyDescent="0.25">
      <c r="B23" s="319"/>
      <c r="C23" s="296"/>
      <c r="D23" s="296"/>
      <c r="E23" s="296"/>
    </row>
    <row r="24" spans="1:6" ht="31.5" x14ac:dyDescent="0.25">
      <c r="A24" s="322" t="s">
        <v>337</v>
      </c>
      <c r="B24" s="321">
        <f>B22-B20</f>
        <v>9402.5</v>
      </c>
      <c r="C24" s="318"/>
      <c r="D24" s="318"/>
      <c r="E24" s="318"/>
    </row>
    <row r="25" spans="1:6" x14ac:dyDescent="0.25">
      <c r="B25" s="296"/>
      <c r="C25" s="296"/>
      <c r="D25" s="296"/>
      <c r="E25" s="296"/>
    </row>
    <row r="27" spans="1:6" x14ac:dyDescent="0.25">
      <c r="C27" s="316"/>
      <c r="D27" s="316"/>
      <c r="E27" s="316"/>
    </row>
    <row r="28" spans="1:6" x14ac:dyDescent="0.25">
      <c r="C28" s="315"/>
      <c r="D28" s="315"/>
      <c r="E28" s="315"/>
    </row>
    <row r="29" spans="1:6" x14ac:dyDescent="0.25">
      <c r="C29" s="315"/>
      <c r="D29" s="315"/>
      <c r="E29" s="315"/>
    </row>
    <row r="30" spans="1:6" x14ac:dyDescent="0.25">
      <c r="C30" s="315"/>
      <c r="D30" s="315"/>
      <c r="E30" s="315"/>
    </row>
    <row r="31" spans="1:6" x14ac:dyDescent="0.25">
      <c r="C31" s="315"/>
      <c r="D31" s="315"/>
      <c r="E31" s="315"/>
    </row>
    <row r="32" spans="1:6" x14ac:dyDescent="0.25">
      <c r="C32" s="315"/>
      <c r="D32" s="315"/>
      <c r="E32" s="315"/>
    </row>
    <row r="33" spans="2:5" x14ac:dyDescent="0.25">
      <c r="C33" s="315"/>
      <c r="D33" s="315"/>
      <c r="E33" s="315"/>
    </row>
    <row r="34" spans="2:5" x14ac:dyDescent="0.25">
      <c r="C34" s="315"/>
      <c r="D34" s="315"/>
      <c r="E34" s="315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</sheetData>
  <mergeCells count="3">
    <mergeCell ref="E2:F2"/>
    <mergeCell ref="A2:B2"/>
    <mergeCell ref="A1:F1"/>
  </mergeCells>
  <printOptions horizontalCentered="1"/>
  <pageMargins left="0.51181102362204722" right="0.51181102362204722" top="0.78740157480314965" bottom="0.78740157480314965" header="0.31496062992125984" footer="0.31496062992125984"/>
  <pageSetup paperSize="9" orientation="portrait" verticalDpi="0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63723-0C48-4E39-ADB0-2F2F13580BBB}">
  <sheetPr codeName="Planilha1">
    <pageSetUpPr fitToPage="1"/>
  </sheetPr>
  <dimension ref="A1:AG92"/>
  <sheetViews>
    <sheetView showGridLines="0" tabSelected="1" topLeftCell="H56" zoomScaleNormal="100" workbookViewId="0">
      <selection activeCell="AF67" sqref="AF67"/>
    </sheetView>
  </sheetViews>
  <sheetFormatPr defaultRowHeight="15" x14ac:dyDescent="0.25"/>
  <cols>
    <col min="1" max="1" width="18.28515625" style="209" bestFit="1" customWidth="1"/>
    <col min="2" max="2" width="27.42578125" style="209" customWidth="1"/>
    <col min="3" max="3" width="7.5703125" style="360" customWidth="1"/>
    <col min="4" max="4" width="9.42578125" style="360" customWidth="1"/>
    <col min="5" max="5" width="18.85546875" style="209" customWidth="1"/>
    <col min="6" max="7" width="17" style="209" customWidth="1"/>
    <col min="8" max="8" width="8.28515625" style="369" customWidth="1"/>
    <col min="9" max="9" width="4.5703125" style="370" customWidth="1"/>
    <col min="10" max="13" width="4.5703125" style="369" customWidth="1"/>
    <col min="14" max="14" width="4.5703125" style="369" hidden="1" customWidth="1"/>
    <col min="15" max="15" width="8.5703125" style="369" customWidth="1"/>
    <col min="16" max="16" width="7.42578125" style="369" customWidth="1"/>
    <col min="17" max="17" width="7.85546875" style="369" customWidth="1"/>
    <col min="18" max="18" width="4.5703125" style="369" customWidth="1"/>
    <col min="19" max="19" width="7.28515625" style="371" customWidth="1"/>
    <col min="20" max="20" width="6.5703125" style="369" customWidth="1"/>
    <col min="21" max="21" width="7.85546875" style="369" customWidth="1"/>
    <col min="22" max="22" width="9.42578125" style="369" customWidth="1"/>
    <col min="23" max="23" width="10.42578125" style="369" customWidth="1"/>
    <col min="24" max="24" width="22.5703125" style="372" customWidth="1"/>
    <col min="25" max="25" width="19.140625" style="373" customWidth="1"/>
    <col min="26" max="26" width="18.28515625" style="373" customWidth="1"/>
    <col min="27" max="27" width="17.85546875" style="374" customWidth="1"/>
    <col min="28" max="28" width="16" style="373" customWidth="1"/>
    <col min="29" max="29" width="14.140625" style="372" customWidth="1"/>
    <col min="30" max="30" width="14.85546875" style="373" customWidth="1"/>
    <col min="31" max="31" width="12.85546875" style="360" customWidth="1"/>
    <col min="32" max="32" width="15.5703125" style="209" customWidth="1"/>
    <col min="34" max="34" width="13.28515625" bestFit="1" customWidth="1"/>
  </cols>
  <sheetData>
    <row r="1" spans="1:33" s="380" customFormat="1" ht="29.25" customHeight="1" x14ac:dyDescent="0.25">
      <c r="A1" s="375" t="s">
        <v>93</v>
      </c>
      <c r="B1" s="375" t="s">
        <v>2</v>
      </c>
      <c r="C1" s="376" t="s">
        <v>85</v>
      </c>
      <c r="D1" s="376" t="s">
        <v>227</v>
      </c>
      <c r="E1" s="375" t="s">
        <v>80</v>
      </c>
      <c r="F1" s="375" t="s">
        <v>81</v>
      </c>
      <c r="G1" s="375" t="s">
        <v>22</v>
      </c>
      <c r="H1" s="19" t="s">
        <v>1</v>
      </c>
      <c r="I1" s="19" t="s">
        <v>16</v>
      </c>
      <c r="J1" s="19" t="s">
        <v>17</v>
      </c>
      <c r="K1" s="19" t="s">
        <v>18</v>
      </c>
      <c r="L1" s="19" t="s">
        <v>19</v>
      </c>
      <c r="M1" s="19" t="s">
        <v>20</v>
      </c>
      <c r="N1" s="330" t="s">
        <v>99</v>
      </c>
      <c r="O1" s="19" t="s">
        <v>10</v>
      </c>
      <c r="P1" s="19" t="s">
        <v>11</v>
      </c>
      <c r="Q1" s="19" t="s">
        <v>7</v>
      </c>
      <c r="R1" s="129" t="s">
        <v>8</v>
      </c>
      <c r="S1" s="20" t="s">
        <v>0</v>
      </c>
      <c r="T1" s="20" t="s">
        <v>9</v>
      </c>
      <c r="U1" s="376" t="s">
        <v>3</v>
      </c>
      <c r="V1" s="376" t="s">
        <v>97</v>
      </c>
      <c r="W1" s="377" t="s">
        <v>12</v>
      </c>
      <c r="X1" s="377" t="s">
        <v>72</v>
      </c>
      <c r="Y1" s="377" t="s">
        <v>210</v>
      </c>
      <c r="Z1" s="377" t="s">
        <v>247</v>
      </c>
      <c r="AA1" s="377" t="s">
        <v>248</v>
      </c>
      <c r="AB1" s="377" t="s">
        <v>262</v>
      </c>
      <c r="AC1" s="376" t="s">
        <v>4</v>
      </c>
      <c r="AD1" s="378" t="s">
        <v>14</v>
      </c>
      <c r="AE1" s="416" t="s">
        <v>407</v>
      </c>
      <c r="AF1" s="379" t="s">
        <v>415</v>
      </c>
      <c r="AG1" s="396" t="s">
        <v>352</v>
      </c>
    </row>
    <row r="2" spans="1:33" ht="30" customHeight="1" x14ac:dyDescent="0.25">
      <c r="A2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PetFou_T1</v>
      </c>
      <c r="B2" s="207" t="s">
        <v>225</v>
      </c>
      <c r="C2" s="202" t="s">
        <v>137</v>
      </c>
      <c r="D2" s="202" t="s">
        <v>229</v>
      </c>
      <c r="E2" s="207" t="s">
        <v>213</v>
      </c>
      <c r="F2" s="207" t="s">
        <v>398</v>
      </c>
      <c r="G2" s="207" t="s">
        <v>226</v>
      </c>
      <c r="H2" s="203">
        <v>0.83333333333333337</v>
      </c>
      <c r="I2" s="203" t="s">
        <v>100</v>
      </c>
      <c r="J2" s="203" t="s">
        <v>100</v>
      </c>
      <c r="K2" s="203" t="s">
        <v>100</v>
      </c>
      <c r="L2" s="203" t="s">
        <v>100</v>
      </c>
      <c r="M2" s="203" t="s">
        <v>100</v>
      </c>
      <c r="N2" s="203" t="str">
        <f t="shared" ref="N2:N33" si="0">IF(I2="X","0","1")&amp;IF(J2="X","0","1")&amp;IF(K2="X","0","1")&amp;IF(L2="X","0","1")&amp;IF(M2="X","0","1")&amp;"11"</f>
        <v>0000011</v>
      </c>
      <c r="O2" s="203">
        <v>0.33333333333333331</v>
      </c>
      <c r="P2" s="203">
        <v>0.5</v>
      </c>
      <c r="Q2" s="203">
        <f>Planejamento2025[[#This Row],[Saída]]-Planejamento2025[[#This Row],[Entrada]]</f>
        <v>0.16666666666666669</v>
      </c>
      <c r="R2" s="331">
        <f>Planejamento2025[[#This Row],[Carga Horária]]/Q2</f>
        <v>5</v>
      </c>
      <c r="S2" s="204">
        <v>45698</v>
      </c>
      <c r="T2" s="204">
        <v>45702</v>
      </c>
      <c r="U2" s="332" t="s">
        <v>198</v>
      </c>
      <c r="V2" s="333">
        <v>16</v>
      </c>
      <c r="W2" s="334">
        <v>0</v>
      </c>
      <c r="X2" s="335" t="str">
        <f>IF(Planejamento2025[[#This Row],[Fonte Pagadora]]="Anna de Moura",(W2*H2*24),"R$ 0,00")</f>
        <v>R$ 0,00</v>
      </c>
      <c r="Y2" s="335">
        <v>0</v>
      </c>
      <c r="Z2" s="335" t="e">
        <f>INDEX(Tabela1[Valor RH / Executado],MATCH(Planejamento2025[[#This Row],[ID]],Tabela1[ID],0))</f>
        <v>#N/A</v>
      </c>
      <c r="AA2" s="292" t="e">
        <f>INDEX(Tabela1[Valor Insumo / Executado],MATCH(Planejamento2025[[#This Row],[ID]],Tabela1[ID],0))</f>
        <v>#N/A</v>
      </c>
      <c r="AB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" s="332" t="s">
        <v>15</v>
      </c>
      <c r="AD2" s="332" t="s">
        <v>15</v>
      </c>
      <c r="AE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" s="419"/>
      <c r="AG2" s="336"/>
    </row>
    <row r="3" spans="1:33" s="206" customFormat="1" ht="30" customHeight="1" x14ac:dyDescent="0.25">
      <c r="A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AuxAdm_T1</v>
      </c>
      <c r="B3" s="207" t="s">
        <v>77</v>
      </c>
      <c r="C3" s="202" t="s">
        <v>137</v>
      </c>
      <c r="D3" s="202" t="s">
        <v>228</v>
      </c>
      <c r="E3" s="207" t="s">
        <v>76</v>
      </c>
      <c r="F3" s="207" t="s">
        <v>400</v>
      </c>
      <c r="G3" s="207" t="s">
        <v>185</v>
      </c>
      <c r="H3" s="203">
        <v>6.666666666666667</v>
      </c>
      <c r="I3" s="203"/>
      <c r="J3" s="203" t="s">
        <v>100</v>
      </c>
      <c r="K3" s="203" t="s">
        <v>100</v>
      </c>
      <c r="L3" s="203" t="s">
        <v>100</v>
      </c>
      <c r="M3" s="203"/>
      <c r="N3" s="174" t="str">
        <f t="shared" si="0"/>
        <v>1000111</v>
      </c>
      <c r="O3" s="203">
        <v>0.79166666666666663</v>
      </c>
      <c r="P3" s="203">
        <v>0.91666666666666663</v>
      </c>
      <c r="Q3" s="203">
        <f>Planejamento2025[[#This Row],[Saída]]-Planejamento2025[[#This Row],[Entrada]]</f>
        <v>0.125</v>
      </c>
      <c r="R3" s="331">
        <f>Planejamento2025[[#This Row],[Carga Horária]]/Q3</f>
        <v>53.333333333333336</v>
      </c>
      <c r="S3" s="204">
        <v>45699</v>
      </c>
      <c r="T3" s="204">
        <f>WORKDAY.INTL(S3,R3,Planejamento2025[[#This Row],[Padrão]],Calendário!$R$4:$R$35)</f>
        <v>45832</v>
      </c>
      <c r="U3" s="332" t="s">
        <v>199</v>
      </c>
      <c r="V3" s="333">
        <v>32</v>
      </c>
      <c r="W3" s="334">
        <v>47.5</v>
      </c>
      <c r="X3" s="335">
        <f>IF(Planejamento2025[[#This Row],[Fonte Pagadora]]="Anna de Moura",(W3*H3*24),"R$ 0,00")</f>
        <v>7600</v>
      </c>
      <c r="Y3" s="335">
        <v>0</v>
      </c>
      <c r="Z3" s="335">
        <f>INDEX(Tabela1[Valor RH / Executado],MATCH(Planejamento2025[[#This Row],[ID]],Tabela1[ID],0))</f>
        <v>7552.5</v>
      </c>
      <c r="AA3" s="334">
        <f>INDEX(Tabela1[Valor Insumo / Executado],MATCH(Planejamento2025[[#This Row],[ID]],Tabela1[ID],0))</f>
        <v>0</v>
      </c>
      <c r="AB3" s="334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" s="332" t="s">
        <v>5</v>
      </c>
      <c r="AD3" s="332" t="s">
        <v>15</v>
      </c>
      <c r="AE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3" s="419"/>
      <c r="AG3" s="336"/>
    </row>
    <row r="4" spans="1:33" s="206" customFormat="1" ht="30" customHeight="1" x14ac:dyDescent="0.25">
      <c r="A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LidGes_T1</v>
      </c>
      <c r="B4" s="207" t="s">
        <v>94</v>
      </c>
      <c r="C4" s="202" t="s">
        <v>137</v>
      </c>
      <c r="D4" s="202" t="s">
        <v>228</v>
      </c>
      <c r="E4" s="207" t="s">
        <v>76</v>
      </c>
      <c r="F4" s="207" t="s">
        <v>397</v>
      </c>
      <c r="G4" s="207" t="s">
        <v>184</v>
      </c>
      <c r="H4" s="203">
        <v>6.666666666666667</v>
      </c>
      <c r="I4" s="203"/>
      <c r="J4" s="203" t="s">
        <v>100</v>
      </c>
      <c r="K4" s="203" t="s">
        <v>100</v>
      </c>
      <c r="L4" s="203" t="s">
        <v>100</v>
      </c>
      <c r="M4" s="203"/>
      <c r="N4" s="174" t="str">
        <f t="shared" si="0"/>
        <v>1000111</v>
      </c>
      <c r="O4" s="203">
        <v>0.79166666666666663</v>
      </c>
      <c r="P4" s="203">
        <v>0.91666666666666663</v>
      </c>
      <c r="Q4" s="203">
        <f>Planejamento2025[[#This Row],[Saída]]-Planejamento2025[[#This Row],[Entrada]]</f>
        <v>0.125</v>
      </c>
      <c r="R4" s="331">
        <f>Planejamento2025[[#This Row],[Carga Horária]]/Q4</f>
        <v>53.333333333333336</v>
      </c>
      <c r="S4" s="204">
        <v>45699</v>
      </c>
      <c r="T4" s="204">
        <v>45833</v>
      </c>
      <c r="U4" s="332" t="s">
        <v>198</v>
      </c>
      <c r="V4" s="333">
        <v>32</v>
      </c>
      <c r="W4" s="334">
        <v>47.5</v>
      </c>
      <c r="X4" s="335">
        <f>IF(Planejamento2025[[#This Row],[Fonte Pagadora]]="Anna de Moura",(W4*H4*24),"R$ 0,00")</f>
        <v>7600</v>
      </c>
      <c r="Y4" s="335">
        <v>0</v>
      </c>
      <c r="Z4" s="335">
        <f>INDEX(Tabela1[Valor RH / Executado],MATCH(Planejamento2025[[#This Row],[ID]],Tabela1[ID],0))</f>
        <v>7552.5</v>
      </c>
      <c r="AA4" s="292">
        <f>INDEX(Tabela1[Valor Insumo / Executado],MATCH(Planejamento2025[[#This Row],[ID]],Tabela1[ID],0))</f>
        <v>0</v>
      </c>
      <c r="AB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4" s="332" t="s">
        <v>5</v>
      </c>
      <c r="AD4" s="332" t="s">
        <v>15</v>
      </c>
      <c r="AE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4" s="419"/>
      <c r="AG4" s="336"/>
    </row>
    <row r="5" spans="1:33" s="206" customFormat="1" ht="30" customHeight="1" x14ac:dyDescent="0.25">
      <c r="A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SorArt_T1</v>
      </c>
      <c r="B5" s="207" t="s">
        <v>212</v>
      </c>
      <c r="C5" s="202" t="s">
        <v>137</v>
      </c>
      <c r="D5" s="202" t="s">
        <v>228</v>
      </c>
      <c r="E5" s="207" t="s">
        <v>213</v>
      </c>
      <c r="F5" s="207" t="s">
        <v>402</v>
      </c>
      <c r="G5" s="207" t="s">
        <v>186</v>
      </c>
      <c r="H5" s="203">
        <v>0.75</v>
      </c>
      <c r="I5" s="203"/>
      <c r="J5" s="203" t="s">
        <v>100</v>
      </c>
      <c r="K5" s="203" t="s">
        <v>100</v>
      </c>
      <c r="L5" s="203"/>
      <c r="M5" s="203"/>
      <c r="N5" s="203" t="str">
        <f t="shared" si="0"/>
        <v>1001111</v>
      </c>
      <c r="O5" s="203">
        <v>0.79166666666666663</v>
      </c>
      <c r="P5" s="203">
        <v>0.91666666666666663</v>
      </c>
      <c r="Q5" s="203">
        <f>Planejamento2025[[#This Row],[Saída]]-Planejamento2025[[#This Row],[Entrada]]</f>
        <v>0.125</v>
      </c>
      <c r="R5" s="331">
        <f>Planejamento2025[[#This Row],[Carga Horária]]/Q5</f>
        <v>6</v>
      </c>
      <c r="S5" s="204">
        <v>45699</v>
      </c>
      <c r="T5" s="204">
        <v>45714</v>
      </c>
      <c r="U5" s="332" t="s">
        <v>198</v>
      </c>
      <c r="V5" s="333">
        <v>18</v>
      </c>
      <c r="W5" s="334">
        <v>47.5</v>
      </c>
      <c r="X5" s="335">
        <f>IF(Planejamento2025[[#This Row],[Fonte Pagadora]]="Anna de Moura",(W5*H5*24),"R$ 0,00")</f>
        <v>855</v>
      </c>
      <c r="Y5" s="335">
        <f>18*30</f>
        <v>540</v>
      </c>
      <c r="Z5" s="335">
        <f>INDEX(Tabela1[Valor RH / Executado],MATCH(Planejamento2025[[#This Row],[ID]],Tabela1[ID],0))</f>
        <v>855</v>
      </c>
      <c r="AA5" s="292">
        <f>INDEX(Tabela1[Valor Insumo / Executado],MATCH(Planejamento2025[[#This Row],[ID]],Tabela1[ID],0))</f>
        <v>244.77</v>
      </c>
      <c r="AB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5" s="332" t="s">
        <v>5</v>
      </c>
      <c r="AD5" s="332" t="s">
        <v>5</v>
      </c>
      <c r="AE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5" s="419"/>
      <c r="AG5" s="336"/>
    </row>
    <row r="6" spans="1:33" s="206" customFormat="1" ht="30" customHeight="1" x14ac:dyDescent="0.25">
      <c r="A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PacOff_T1</v>
      </c>
      <c r="B6" s="207" t="s">
        <v>78</v>
      </c>
      <c r="C6" s="202" t="s">
        <v>137</v>
      </c>
      <c r="D6" s="202" t="s">
        <v>228</v>
      </c>
      <c r="E6" s="207" t="s">
        <v>74</v>
      </c>
      <c r="F6" s="207" t="s">
        <v>397</v>
      </c>
      <c r="G6" s="207" t="s">
        <v>188</v>
      </c>
      <c r="H6" s="203">
        <v>4</v>
      </c>
      <c r="I6" s="203"/>
      <c r="J6" s="203" t="s">
        <v>139</v>
      </c>
      <c r="K6" s="203" t="s">
        <v>139</v>
      </c>
      <c r="L6" s="203" t="s">
        <v>139</v>
      </c>
      <c r="M6" s="203"/>
      <c r="N6" s="174" t="str">
        <f t="shared" si="0"/>
        <v>1000111</v>
      </c>
      <c r="O6" s="203">
        <v>0.79166666666666663</v>
      </c>
      <c r="P6" s="203">
        <v>0.91666666666666663</v>
      </c>
      <c r="Q6" s="203">
        <f>Planejamento2025[[#This Row],[Saída]]-Planejamento2025[[#This Row],[Entrada]]</f>
        <v>0.125</v>
      </c>
      <c r="R6" s="331">
        <f>Planejamento2025[[#This Row],[Carga Horária]]/Q6</f>
        <v>32</v>
      </c>
      <c r="S6" s="204">
        <v>45699</v>
      </c>
      <c r="T6" s="204">
        <v>45783</v>
      </c>
      <c r="U6" s="332" t="s">
        <v>198</v>
      </c>
      <c r="V6" s="333">
        <v>16</v>
      </c>
      <c r="W6" s="334">
        <v>47.5</v>
      </c>
      <c r="X6" s="335">
        <f>IF(Planejamento2025[[#This Row],[Fonte Pagadora]]="Anna de Moura",(W6*H6*24),"R$ 0,00")</f>
        <v>4560</v>
      </c>
      <c r="Y6" s="335">
        <v>0</v>
      </c>
      <c r="Z6" s="335">
        <f>INDEX(Tabela1[Valor RH / Executado],MATCH(Planejamento2025[[#This Row],[ID]],Tabela1[ID],0))</f>
        <v>4560</v>
      </c>
      <c r="AA6" s="292">
        <f>INDEX(Tabela1[Valor Insumo / Executado],MATCH(Planejamento2025[[#This Row],[ID]],Tabela1[ID],0))</f>
        <v>0</v>
      </c>
      <c r="AB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6" s="332" t="s">
        <v>5</v>
      </c>
      <c r="AD6" s="332" t="s">
        <v>15</v>
      </c>
      <c r="AE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6" s="419"/>
      <c r="AG6" s="336"/>
    </row>
    <row r="7" spans="1:33" s="206" customFormat="1" ht="30" customHeight="1" x14ac:dyDescent="0.25">
      <c r="A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InfBás_T1</v>
      </c>
      <c r="B7" s="207" t="s">
        <v>79</v>
      </c>
      <c r="C7" s="202" t="s">
        <v>137</v>
      </c>
      <c r="D7" s="202" t="s">
        <v>228</v>
      </c>
      <c r="E7" s="207" t="s">
        <v>74</v>
      </c>
      <c r="F7" s="207" t="s">
        <v>401</v>
      </c>
      <c r="G7" s="207" t="s">
        <v>190</v>
      </c>
      <c r="H7" s="203">
        <v>2.5</v>
      </c>
      <c r="I7" s="203"/>
      <c r="J7" s="203" t="s">
        <v>100</v>
      </c>
      <c r="K7" s="203" t="s">
        <v>100</v>
      </c>
      <c r="L7" s="203"/>
      <c r="M7" s="203"/>
      <c r="N7" s="174" t="str">
        <f t="shared" si="0"/>
        <v>1001111</v>
      </c>
      <c r="O7" s="203">
        <v>0.79166666666666663</v>
      </c>
      <c r="P7" s="203">
        <v>0.91666666666666663</v>
      </c>
      <c r="Q7" s="203">
        <f>Planejamento2025[[#This Row],[Saída]]-Planejamento2025[[#This Row],[Entrada]]</f>
        <v>0.125</v>
      </c>
      <c r="R7" s="331">
        <f>Planejamento2025[[#This Row],[Carga Horária]]/Q7</f>
        <v>20</v>
      </c>
      <c r="S7" s="204">
        <v>45699</v>
      </c>
      <c r="T7" s="204">
        <f>WORKDAY.INTL(S7,R7,Planejamento2025[[#This Row],[Padrão]],Calendário!$R$4:$R$35)</f>
        <v>45770</v>
      </c>
      <c r="U7" s="332" t="s">
        <v>198</v>
      </c>
      <c r="V7" s="333">
        <v>14</v>
      </c>
      <c r="W7" s="334">
        <v>47.5</v>
      </c>
      <c r="X7" s="335">
        <f>IF(Planejamento2025[[#This Row],[Fonte Pagadora]]="Anna de Moura",(W7*H7*24),"R$ 0,00")</f>
        <v>2850</v>
      </c>
      <c r="Y7" s="335">
        <v>0</v>
      </c>
      <c r="Z7" s="335">
        <f>INDEX(Tabela1[Valor RH / Executado],MATCH(Planejamento2025[[#This Row],[ID]],Tabela1[ID],0))</f>
        <v>2850</v>
      </c>
      <c r="AA7" s="292">
        <f>INDEX(Tabela1[Valor Insumo / Executado],MATCH(Planejamento2025[[#This Row],[ID]],Tabela1[ID],0))</f>
        <v>0</v>
      </c>
      <c r="AB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7" s="332" t="s">
        <v>5</v>
      </c>
      <c r="AD7" s="332" t="s">
        <v>15</v>
      </c>
      <c r="AE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7" s="419"/>
      <c r="AG7" s="336"/>
    </row>
    <row r="8" spans="1:33" s="206" customFormat="1" ht="30" customHeight="1" x14ac:dyDescent="0.25">
      <c r="A8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_T1</v>
      </c>
      <c r="B8" s="207" t="s">
        <v>153</v>
      </c>
      <c r="C8" s="202" t="s">
        <v>137</v>
      </c>
      <c r="D8" s="202" t="s">
        <v>228</v>
      </c>
      <c r="E8" s="207" t="s">
        <v>182</v>
      </c>
      <c r="F8" s="207" t="s">
        <v>401</v>
      </c>
      <c r="G8" s="207" t="s">
        <v>195</v>
      </c>
      <c r="H8" s="203">
        <v>3.3333333333333335</v>
      </c>
      <c r="I8" s="203"/>
      <c r="J8" s="203" t="s">
        <v>100</v>
      </c>
      <c r="K8" s="203" t="s">
        <v>100</v>
      </c>
      <c r="L8" s="203"/>
      <c r="M8" s="203"/>
      <c r="N8" s="174" t="str">
        <f t="shared" si="0"/>
        <v>1001111</v>
      </c>
      <c r="O8" s="203">
        <v>0.79166666666666663</v>
      </c>
      <c r="P8" s="203">
        <v>0.91666666666666663</v>
      </c>
      <c r="Q8" s="203">
        <f>Planejamento2025[[#This Row],[Saída]]-Planejamento2025[[#This Row],[Entrada]]</f>
        <v>0.125</v>
      </c>
      <c r="R8" s="331">
        <f>Planejamento2025[[#This Row],[Carga Horária]]/Q8</f>
        <v>26.666666666666668</v>
      </c>
      <c r="S8" s="204">
        <v>45699</v>
      </c>
      <c r="T8" s="204">
        <f>WORKDAY.INTL(S8,R8,Planejamento2025[[#This Row],[Padrão]],Calendário!$R$4:$R$35)</f>
        <v>45791</v>
      </c>
      <c r="U8" s="332" t="s">
        <v>199</v>
      </c>
      <c r="V8" s="333">
        <v>32</v>
      </c>
      <c r="W8" s="334">
        <v>47.5</v>
      </c>
      <c r="X8" s="335">
        <f>IF(Planejamento2025[[#This Row],[Fonte Pagadora]]="Anna de Moura",(W8*H8*24),"R$ 0,00")</f>
        <v>3800</v>
      </c>
      <c r="Y8" s="335">
        <v>0</v>
      </c>
      <c r="Z8" s="335">
        <f>INDEX(Tabela1[Valor RH / Executado],MATCH(Planejamento2025[[#This Row],[ID]],Tabela1[ID],0))</f>
        <v>3705</v>
      </c>
      <c r="AA8" s="292">
        <f>INDEX(Tabela1[Valor Insumo / Executado],MATCH(Planejamento2025[[#This Row],[ID]],Tabela1[ID],0))</f>
        <v>0</v>
      </c>
      <c r="AB8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8" s="332" t="s">
        <v>5</v>
      </c>
      <c r="AD8" s="332" t="s">
        <v>5</v>
      </c>
      <c r="AE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8" s="419"/>
      <c r="AG8" s="336"/>
    </row>
    <row r="9" spans="1:33" s="206" customFormat="1" ht="30" customHeight="1" x14ac:dyDescent="0.25">
      <c r="A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Gin _T1</v>
      </c>
      <c r="B9" s="207" t="s">
        <v>149</v>
      </c>
      <c r="C9" s="202" t="s">
        <v>137</v>
      </c>
      <c r="D9" s="202" t="s">
        <v>230</v>
      </c>
      <c r="E9" s="207" t="s">
        <v>179</v>
      </c>
      <c r="F9" s="207" t="s">
        <v>401</v>
      </c>
      <c r="G9" s="207" t="s">
        <v>193</v>
      </c>
      <c r="H9" s="203">
        <v>0.79166666666666663</v>
      </c>
      <c r="I9" s="203"/>
      <c r="J9" s="203"/>
      <c r="K9" s="203" t="s">
        <v>100</v>
      </c>
      <c r="L9" s="203"/>
      <c r="M9" s="203"/>
      <c r="N9" s="174" t="str">
        <f t="shared" si="0"/>
        <v>1101111</v>
      </c>
      <c r="O9" s="203">
        <v>0.70833333333333337</v>
      </c>
      <c r="P9" s="203">
        <v>0.75</v>
      </c>
      <c r="Q9" s="203">
        <f>Planejamento2025[[#This Row],[Saída]]-Planejamento2025[[#This Row],[Entrada]]</f>
        <v>4.166666666666663E-2</v>
      </c>
      <c r="R9" s="331">
        <f>Planejamento2025[[#This Row],[Carga Horária]]/Q9</f>
        <v>19.000000000000014</v>
      </c>
      <c r="S9" s="204">
        <v>45700</v>
      </c>
      <c r="T9" s="204">
        <f>WORKDAY.INTL(S9,R9,Planejamento2025[[#This Row],[Padrão]],Calendário!$R$4:$R$35)</f>
        <v>45833</v>
      </c>
      <c r="U9" s="332" t="s">
        <v>198</v>
      </c>
      <c r="V9" s="333">
        <v>30</v>
      </c>
      <c r="W9" s="334">
        <v>55</v>
      </c>
      <c r="X9" s="335">
        <f>IF(Planejamento2025[[#This Row],[Fonte Pagadora]]="Anna de Moura",(W9*H9*24),"R$ 0,00")</f>
        <v>1045</v>
      </c>
      <c r="Y9" s="335"/>
      <c r="Z9" s="335">
        <f>INDEX(Tabela1[Valor RH / Executado],MATCH(Planejamento2025[[#This Row],[ID]],Tabela1[ID],0))</f>
        <v>990</v>
      </c>
      <c r="AA9" s="292">
        <f>INDEX(Tabela1[Valor Insumo / Executado],MATCH(Planejamento2025[[#This Row],[ID]],Tabela1[ID],0))</f>
        <v>0</v>
      </c>
      <c r="AB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9" s="332" t="s">
        <v>5</v>
      </c>
      <c r="AD9" s="332" t="s">
        <v>5</v>
      </c>
      <c r="AE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9" s="419"/>
      <c r="AG9" s="336"/>
    </row>
    <row r="10" spans="1:33" s="206" customFormat="1" ht="30" customHeight="1" x14ac:dyDescent="0.25">
      <c r="A1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Tea _T1</v>
      </c>
      <c r="B10" s="207" t="s">
        <v>152</v>
      </c>
      <c r="C10" s="202" t="s">
        <v>137</v>
      </c>
      <c r="D10" s="202" t="s">
        <v>228</v>
      </c>
      <c r="E10" s="207" t="s">
        <v>181</v>
      </c>
      <c r="F10" s="207" t="s">
        <v>401</v>
      </c>
      <c r="G10" s="207" t="s">
        <v>194</v>
      </c>
      <c r="H10" s="203">
        <v>1.6666666666666667</v>
      </c>
      <c r="I10" s="203"/>
      <c r="J10" s="203"/>
      <c r="K10" s="203" t="s">
        <v>100</v>
      </c>
      <c r="L10" s="203"/>
      <c r="M10" s="203"/>
      <c r="N10" s="43" t="str">
        <f t="shared" si="0"/>
        <v>1101111</v>
      </c>
      <c r="O10" s="203">
        <v>0.79166666666666663</v>
      </c>
      <c r="P10" s="203">
        <v>0.875</v>
      </c>
      <c r="Q10" s="203">
        <f>Planejamento2025[[#This Row],[Saída]]-Planejamento2025[[#This Row],[Entrada]]</f>
        <v>8.333333333333337E-2</v>
      </c>
      <c r="R10" s="331">
        <f>Planejamento2025[[#This Row],[Carga Horária]]/Q10</f>
        <v>19.999999999999993</v>
      </c>
      <c r="S10" s="204">
        <v>45700</v>
      </c>
      <c r="T10" s="204">
        <f>WORKDAY.INTL(S10,R10,Planejamento2025[[#This Row],[Padrão]],Calendário!$R$4:$R$35)</f>
        <v>45833</v>
      </c>
      <c r="U10" s="332" t="s">
        <v>200</v>
      </c>
      <c r="V10" s="333">
        <v>25</v>
      </c>
      <c r="W10" s="334">
        <v>47.5</v>
      </c>
      <c r="X10" s="335">
        <f>IF(Planejamento2025[[#This Row],[Fonte Pagadora]]="Anna de Moura",(W10*H10*24),"R$ 0,00")</f>
        <v>1900</v>
      </c>
      <c r="Y10" s="335">
        <v>0</v>
      </c>
      <c r="Z10" s="335">
        <f>INDEX(Tabela1[Valor RH / Executado],MATCH(Planejamento2025[[#This Row],[ID]],Tabela1[ID],0))</f>
        <v>1805</v>
      </c>
      <c r="AA10" s="292">
        <f>INDEX(Tabela1[Valor Insumo / Executado],MATCH(Planejamento2025[[#This Row],[ID]],Tabela1[ID],0))</f>
        <v>0</v>
      </c>
      <c r="AB1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0" s="332" t="s">
        <v>5</v>
      </c>
      <c r="AD10" s="332" t="s">
        <v>5</v>
      </c>
      <c r="AE1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0" s="419"/>
      <c r="AG10" s="336"/>
    </row>
    <row r="11" spans="1:33" s="206" customFormat="1" ht="30" customHeight="1" x14ac:dyDescent="0.25">
      <c r="A11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InfBás_T2</v>
      </c>
      <c r="B11" s="207" t="s">
        <v>79</v>
      </c>
      <c r="C11" s="202" t="s">
        <v>138</v>
      </c>
      <c r="D11" s="202" t="s">
        <v>230</v>
      </c>
      <c r="E11" s="207" t="s">
        <v>74</v>
      </c>
      <c r="F11" s="207" t="s">
        <v>401</v>
      </c>
      <c r="G11" s="207" t="s">
        <v>189</v>
      </c>
      <c r="H11" s="203">
        <v>1.6666666666666667</v>
      </c>
      <c r="I11" s="203"/>
      <c r="J11" s="203"/>
      <c r="K11" s="203"/>
      <c r="L11" s="203" t="s">
        <v>139</v>
      </c>
      <c r="M11" s="203"/>
      <c r="N11" s="174" t="str">
        <f t="shared" si="0"/>
        <v>1110111</v>
      </c>
      <c r="O11" s="203">
        <v>0.60416666666666663</v>
      </c>
      <c r="P11" s="203">
        <v>0.70833333333333337</v>
      </c>
      <c r="Q11" s="203">
        <f>Planejamento2025[[#This Row],[Saída]]-Planejamento2025[[#This Row],[Entrada]]</f>
        <v>0.10416666666666674</v>
      </c>
      <c r="R11" s="331">
        <f>Planejamento2025[[#This Row],[Carga Horária]]/Q11</f>
        <v>15.999999999999989</v>
      </c>
      <c r="S11" s="204">
        <v>45701</v>
      </c>
      <c r="T11" s="204">
        <f>WORKDAY.INTL(S11,R11,Planejamento2025[[#This Row],[Padrão]],Calendário!$R$4:$R$35)</f>
        <v>45820</v>
      </c>
      <c r="U11" s="332" t="s">
        <v>140</v>
      </c>
      <c r="V11" s="333">
        <v>14</v>
      </c>
      <c r="W11" s="334">
        <v>0</v>
      </c>
      <c r="X11" s="335">
        <f>IF(Planejamento2025[[#This Row],[Fonte Pagadora]]="Anna de Moura",(W11*H11*24),"R$ 0,00")</f>
        <v>0</v>
      </c>
      <c r="Y11" s="335">
        <v>0</v>
      </c>
      <c r="Z11" s="335">
        <f>INDEX(Tabela1[Valor RH / Executado],MATCH(Planejamento2025[[#This Row],[ID]],Tabela1[ID],0))</f>
        <v>0</v>
      </c>
      <c r="AA11" s="292">
        <f>INDEX(Tabela1[Valor Insumo / Executado],MATCH(Planejamento2025[[#This Row],[ID]],Tabela1[ID],0))</f>
        <v>0</v>
      </c>
      <c r="AB11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1" s="332" t="s">
        <v>5</v>
      </c>
      <c r="AD11" s="332" t="s">
        <v>5</v>
      </c>
      <c r="AE1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1" s="419"/>
      <c r="AG11" s="336"/>
    </row>
    <row r="12" spans="1:33" s="206" customFormat="1" ht="30" customHeight="1" x14ac:dyDescent="0.25">
      <c r="A12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Fut _T1</v>
      </c>
      <c r="B12" s="207" t="s">
        <v>145</v>
      </c>
      <c r="C12" s="202" t="s">
        <v>137</v>
      </c>
      <c r="D12" s="202" t="s">
        <v>230</v>
      </c>
      <c r="E12" s="207" t="s">
        <v>180</v>
      </c>
      <c r="F12" s="207" t="s">
        <v>401</v>
      </c>
      <c r="G12" s="207" t="s">
        <v>192</v>
      </c>
      <c r="H12" s="203">
        <v>1.4166666666666667</v>
      </c>
      <c r="I12" s="203"/>
      <c r="J12" s="203"/>
      <c r="K12" s="203"/>
      <c r="L12" s="203" t="s">
        <v>100</v>
      </c>
      <c r="M12" s="203"/>
      <c r="N12" s="43" t="str">
        <f t="shared" si="0"/>
        <v>1110111</v>
      </c>
      <c r="O12" s="203">
        <v>0.66666666666666663</v>
      </c>
      <c r="P12" s="203">
        <v>0.75</v>
      </c>
      <c r="Q12" s="203">
        <f>Planejamento2025[[#This Row],[Saída]]-Planejamento2025[[#This Row],[Entrada]]</f>
        <v>8.333333333333337E-2</v>
      </c>
      <c r="R12" s="331">
        <f>Planejamento2025[[#This Row],[Carga Horária]]/Q12</f>
        <v>16.999999999999993</v>
      </c>
      <c r="S12" s="204">
        <v>45701</v>
      </c>
      <c r="T12" s="204">
        <f>WORKDAY.INTL(S12,R12,Planejamento2025[[#This Row],[Padrão]],Calendário!$R$4:$R$35)</f>
        <v>45834</v>
      </c>
      <c r="U12" s="332" t="s">
        <v>151</v>
      </c>
      <c r="V12" s="333">
        <v>25</v>
      </c>
      <c r="W12" s="334">
        <v>47.5</v>
      </c>
      <c r="X12" s="335">
        <f>IF(Planejamento2025[[#This Row],[Fonte Pagadora]]="Anna de Moura",(W12*H12*24),"R$ 0,00")</f>
        <v>1615</v>
      </c>
      <c r="Y12" s="335">
        <v>0</v>
      </c>
      <c r="Z12" s="335">
        <f>INDEX(Tabela1[Valor RH / Executado],MATCH(Planejamento2025[[#This Row],[ID]],Tabela1[ID],0))</f>
        <v>1615</v>
      </c>
      <c r="AA12" s="292">
        <f>INDEX(Tabela1[Valor Insumo / Executado],MATCH(Planejamento2025[[#This Row],[ID]],Tabela1[ID],0))</f>
        <v>0</v>
      </c>
      <c r="AB1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2" s="332" t="s">
        <v>5</v>
      </c>
      <c r="AD12" s="332" t="s">
        <v>5</v>
      </c>
      <c r="AE1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2" s="419"/>
      <c r="AG12" s="336"/>
    </row>
    <row r="13" spans="1:33" s="206" customFormat="1" ht="30" customHeight="1" x14ac:dyDescent="0.25">
      <c r="A1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Fut _T2</v>
      </c>
      <c r="B13" s="207" t="s">
        <v>145</v>
      </c>
      <c r="C13" s="202" t="s">
        <v>138</v>
      </c>
      <c r="D13" s="202" t="s">
        <v>228</v>
      </c>
      <c r="E13" s="207" t="s">
        <v>180</v>
      </c>
      <c r="F13" s="207" t="s">
        <v>401</v>
      </c>
      <c r="G13" s="207" t="s">
        <v>192</v>
      </c>
      <c r="H13" s="203">
        <v>1.4166666666666667</v>
      </c>
      <c r="I13" s="203"/>
      <c r="J13" s="203"/>
      <c r="K13" s="203"/>
      <c r="L13" s="203" t="s">
        <v>100</v>
      </c>
      <c r="M13" s="203"/>
      <c r="N13" s="43" t="str">
        <f t="shared" si="0"/>
        <v>1110111</v>
      </c>
      <c r="O13" s="203">
        <v>0.79166666666666663</v>
      </c>
      <c r="P13" s="203">
        <v>0.875</v>
      </c>
      <c r="Q13" s="203">
        <f>Planejamento2025[[#This Row],[Saída]]-Planejamento2025[[#This Row],[Entrada]]</f>
        <v>8.333333333333337E-2</v>
      </c>
      <c r="R13" s="331">
        <f>Planejamento2025[[#This Row],[Carga Horária]]/Q13</f>
        <v>16.999999999999993</v>
      </c>
      <c r="S13" s="204">
        <v>45701</v>
      </c>
      <c r="T13" s="204">
        <f>WORKDAY.INTL(S13,R13,Planejamento2025[[#This Row],[Padrão]],Calendário!$R$4:$R$35)</f>
        <v>45834</v>
      </c>
      <c r="U13" s="332" t="s">
        <v>150</v>
      </c>
      <c r="V13" s="333">
        <v>25</v>
      </c>
      <c r="W13" s="334">
        <v>47.5</v>
      </c>
      <c r="X13" s="335">
        <f>IF(Planejamento2025[[#This Row],[Fonte Pagadora]]="Anna de Moura",(W13*H13*24),"R$ 0,00")</f>
        <v>1615</v>
      </c>
      <c r="Y13" s="335">
        <v>0</v>
      </c>
      <c r="Z13" s="335">
        <f>INDEX(Tabela1[Valor RH / Executado],MATCH(Planejamento2025[[#This Row],[ID]],Tabela1[ID],0))</f>
        <v>1615</v>
      </c>
      <c r="AA13" s="292">
        <f>INDEX(Tabela1[Valor Insumo / Executado],MATCH(Planejamento2025[[#This Row],[ID]],Tabela1[ID],0))</f>
        <v>0</v>
      </c>
      <c r="AB1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3" s="332" t="s">
        <v>5</v>
      </c>
      <c r="AD13" s="332" t="s">
        <v>5</v>
      </c>
      <c r="AE1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3" s="419"/>
      <c r="AG13" s="336"/>
    </row>
    <row r="14" spans="1:33" s="206" customFormat="1" ht="30" customHeight="1" x14ac:dyDescent="0.25">
      <c r="A1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Man _T1</v>
      </c>
      <c r="B14" s="207" t="s">
        <v>141</v>
      </c>
      <c r="C14" s="202" t="s">
        <v>137</v>
      </c>
      <c r="D14" s="202" t="s">
        <v>230</v>
      </c>
      <c r="E14" s="207" t="s">
        <v>179</v>
      </c>
      <c r="F14" s="207" t="s">
        <v>401</v>
      </c>
      <c r="G14" s="207" t="s">
        <v>191</v>
      </c>
      <c r="H14" s="203">
        <v>1.25</v>
      </c>
      <c r="I14" s="203"/>
      <c r="J14" s="203" t="s">
        <v>100</v>
      </c>
      <c r="K14" s="203"/>
      <c r="L14" s="203"/>
      <c r="M14" s="203"/>
      <c r="N14" s="174" t="str">
        <f t="shared" si="0"/>
        <v>1011111</v>
      </c>
      <c r="O14" s="203">
        <v>0.58333333333333337</v>
      </c>
      <c r="P14" s="203">
        <v>0.70833333333333337</v>
      </c>
      <c r="Q14" s="203">
        <f>Planejamento2025[[#This Row],[Saída]]-Planejamento2025[[#This Row],[Entrada]]</f>
        <v>0.125</v>
      </c>
      <c r="R14" s="331">
        <f>Planejamento2025[[#This Row],[Carga Horária]]/Q14</f>
        <v>10</v>
      </c>
      <c r="S14" s="204">
        <v>45706</v>
      </c>
      <c r="T14" s="204">
        <f>WORKDAY.INTL(S14,R14,Planejamento2025[[#This Row],[Padrão]],Calendário!$R$4:$R$35)</f>
        <v>45783</v>
      </c>
      <c r="U14" s="332" t="s">
        <v>198</v>
      </c>
      <c r="V14" s="333">
        <v>20</v>
      </c>
      <c r="W14" s="334">
        <v>47.5</v>
      </c>
      <c r="X14" s="335">
        <f>IF(Planejamento2025[[#This Row],[Fonte Pagadora]]="Anna de Moura",(W14*H14*24),"R$ 0,00")</f>
        <v>1425</v>
      </c>
      <c r="Y14" s="335">
        <v>600</v>
      </c>
      <c r="Z14" s="335">
        <f>INDEX(Tabela1[Valor RH / Executado],MATCH(Planejamento2025[[#This Row],[ID]],Tabela1[ID],0))</f>
        <v>1520</v>
      </c>
      <c r="AA14" s="292">
        <f>INDEX(Tabela1[Valor Insumo / Executado],MATCH(Planejamento2025[[#This Row],[ID]],Tabela1[ID],0))</f>
        <v>0</v>
      </c>
      <c r="AB1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4" s="332" t="s">
        <v>5</v>
      </c>
      <c r="AD14" s="332" t="s">
        <v>5</v>
      </c>
      <c r="AE1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4" s="419"/>
      <c r="AG14" s="336"/>
    </row>
    <row r="15" spans="1:33" s="206" customFormat="1" ht="30" customHeight="1" x14ac:dyDescent="0.25">
      <c r="A1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_T1</v>
      </c>
      <c r="B15" s="207" t="s">
        <v>86</v>
      </c>
      <c r="C15" s="202" t="s">
        <v>137</v>
      </c>
      <c r="D15" s="202" t="s">
        <v>230</v>
      </c>
      <c r="E15" s="207" t="s">
        <v>76</v>
      </c>
      <c r="F15" s="207" t="s">
        <v>397</v>
      </c>
      <c r="G15" s="207" t="s">
        <v>246</v>
      </c>
      <c r="H15" s="203">
        <v>1</v>
      </c>
      <c r="I15" s="203" t="s">
        <v>139</v>
      </c>
      <c r="J15" s="203" t="s">
        <v>139</v>
      </c>
      <c r="K15" s="203" t="s">
        <v>139</v>
      </c>
      <c r="L15" s="203" t="s">
        <v>139</v>
      </c>
      <c r="M15" s="203"/>
      <c r="N15" s="203" t="str">
        <f t="shared" si="0"/>
        <v>0000111</v>
      </c>
      <c r="O15" s="203">
        <v>0.58333333333333337</v>
      </c>
      <c r="P15" s="203">
        <v>0.70833333333333337</v>
      </c>
      <c r="Q15" s="203">
        <f>Planejamento2025[[#This Row],[Saída]]-Planejamento2025[[#This Row],[Entrada]]</f>
        <v>0.125</v>
      </c>
      <c r="R15" s="331">
        <f>Planejamento2025[[#This Row],[Carga Horária]]/Q15</f>
        <v>8</v>
      </c>
      <c r="S15" s="204">
        <v>45706</v>
      </c>
      <c r="T15" s="204">
        <v>45716</v>
      </c>
      <c r="U15" s="332" t="s">
        <v>199</v>
      </c>
      <c r="V15" s="333">
        <v>20</v>
      </c>
      <c r="W15" s="334">
        <v>0</v>
      </c>
      <c r="X15" s="335" t="str">
        <f>IF(Planejamento2025[[#This Row],[Fonte Pagadora]]="Anna de Moura",(W15*H15*24),"R$ 0,00")</f>
        <v>R$ 0,00</v>
      </c>
      <c r="Y15" s="335">
        <v>0</v>
      </c>
      <c r="Z15" s="335">
        <f>INDEX(Tabela1[Valor RH / Executado],MATCH(Planejamento2025[[#This Row],[ID]],Tabela1[ID],0))</f>
        <v>0</v>
      </c>
      <c r="AA15" s="292">
        <f>INDEX(Tabela1[Valor Insumo / Executado],MATCH(Planejamento2025[[#This Row],[ID]],Tabela1[ID],0))</f>
        <v>0</v>
      </c>
      <c r="AB1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5" s="332" t="s">
        <v>15</v>
      </c>
      <c r="AD15" s="332" t="s">
        <v>15</v>
      </c>
      <c r="AE1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15" s="419"/>
      <c r="AG15" s="336"/>
    </row>
    <row r="16" spans="1:33" s="327" customFormat="1" ht="30" customHeight="1" x14ac:dyDescent="0.25">
      <c r="A1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EleIns_T1</v>
      </c>
      <c r="B16" s="337" t="s">
        <v>88</v>
      </c>
      <c r="C16" s="47" t="s">
        <v>137</v>
      </c>
      <c r="D16" s="47" t="s">
        <v>230</v>
      </c>
      <c r="E16" s="337" t="s">
        <v>90</v>
      </c>
      <c r="F16" s="337" t="s">
        <v>399</v>
      </c>
      <c r="G16" s="337" t="s">
        <v>246</v>
      </c>
      <c r="H16" s="43">
        <v>6.666666666666667</v>
      </c>
      <c r="I16" s="43"/>
      <c r="J16" s="43" t="s">
        <v>139</v>
      </c>
      <c r="K16" s="43"/>
      <c r="L16" s="43" t="s">
        <v>139</v>
      </c>
      <c r="M16" s="43"/>
      <c r="N16" s="43" t="str">
        <f t="shared" si="0"/>
        <v>1010111</v>
      </c>
      <c r="O16" s="43">
        <v>0.54166666666666663</v>
      </c>
      <c r="P16" s="43">
        <v>0.72916666666666663</v>
      </c>
      <c r="Q16" s="43">
        <f>Planejamento2025[[#This Row],[Saída]]-Planejamento2025[[#This Row],[Entrada]]</f>
        <v>0.1875</v>
      </c>
      <c r="R16" s="130">
        <f>Planejamento2025[[#This Row],[Carga Horária]]/Q16</f>
        <v>35.555555555555557</v>
      </c>
      <c r="S16" s="44">
        <v>45722</v>
      </c>
      <c r="T16" s="44">
        <v>45869</v>
      </c>
      <c r="U16" s="338" t="s">
        <v>240</v>
      </c>
      <c r="V16" s="339">
        <v>16</v>
      </c>
      <c r="W16" s="340" t="s">
        <v>241</v>
      </c>
      <c r="X16" s="341" t="str">
        <f>IF(Planejamento2025[[#This Row],[Fonte Pagadora]]="Anna de Moura",(W16*H16*24),"R$ 0,00")</f>
        <v>R$ 0,00</v>
      </c>
      <c r="Y16" s="341">
        <v>0</v>
      </c>
      <c r="Z16" s="341">
        <f>INDEX(Tabela1[Valor RH / Executado],MATCH(Planejamento2025[[#This Row],[ID]],Tabela1[ID],0))</f>
        <v>0</v>
      </c>
      <c r="AA16" s="184">
        <f>INDEX(Tabela1[Valor Insumo / Executado],MATCH(Planejamento2025[[#This Row],[ID]],Tabela1[ID],0))</f>
        <v>0</v>
      </c>
      <c r="AB16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16" s="338" t="s">
        <v>15</v>
      </c>
      <c r="AD16" s="338" t="s">
        <v>15</v>
      </c>
      <c r="AE1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16" s="419" t="s">
        <v>427</v>
      </c>
      <c r="AG16" s="336"/>
    </row>
    <row r="17" spans="1:33" s="327" customFormat="1" ht="30" customHeight="1" x14ac:dyDescent="0.25">
      <c r="A17" s="337" t="s">
        <v>261</v>
      </c>
      <c r="B17" s="337" t="s">
        <v>242</v>
      </c>
      <c r="C17" s="47" t="s">
        <v>137</v>
      </c>
      <c r="D17" s="47" t="s">
        <v>230</v>
      </c>
      <c r="E17" s="337" t="s">
        <v>74</v>
      </c>
      <c r="F17" s="337" t="s">
        <v>399</v>
      </c>
      <c r="G17" s="337" t="s">
        <v>434</v>
      </c>
      <c r="H17" s="43">
        <v>6.666666666666667</v>
      </c>
      <c r="I17" s="43" t="s">
        <v>139</v>
      </c>
      <c r="J17" s="43"/>
      <c r="K17" s="43" t="s">
        <v>139</v>
      </c>
      <c r="L17" s="43"/>
      <c r="M17" s="43" t="s">
        <v>139</v>
      </c>
      <c r="N17" s="43" t="str">
        <f t="shared" si="0"/>
        <v>0101011</v>
      </c>
      <c r="O17" s="43">
        <v>0.58333333333333337</v>
      </c>
      <c r="P17" s="43">
        <v>0.70833333333333337</v>
      </c>
      <c r="Q17" s="43">
        <f>Planejamento2025[[#This Row],[Saída]]-Planejamento2025[[#This Row],[Entrada]]</f>
        <v>0.125</v>
      </c>
      <c r="R17" s="130">
        <f>Planejamento2025[[#This Row],[Carga Horária]]/Q17</f>
        <v>53.333333333333336</v>
      </c>
      <c r="S17" s="44">
        <v>45723</v>
      </c>
      <c r="T17" s="44">
        <v>45882</v>
      </c>
      <c r="U17" s="338" t="s">
        <v>199</v>
      </c>
      <c r="V17" s="339">
        <v>14</v>
      </c>
      <c r="W17" s="340" t="s">
        <v>241</v>
      </c>
      <c r="X17" s="341" t="str">
        <f>IF(Planejamento2025[[#This Row],[Fonte Pagadora]]="Anna de Moura",(W17*H17*24),"R$ 0,00")</f>
        <v>R$ 0,00</v>
      </c>
      <c r="Y17" s="341">
        <v>0</v>
      </c>
      <c r="Z17" s="341">
        <f>INDEX(Tabela1[Valor RH / Executado],MATCH(Planejamento2025[[#This Row],[ID]],Tabela1[ID],0))</f>
        <v>0</v>
      </c>
      <c r="AA17" s="184">
        <f>INDEX(Tabela1[Valor Insumo / Executado],MATCH(Planejamento2025[[#This Row],[ID]],Tabela1[ID],0))</f>
        <v>0</v>
      </c>
      <c r="AB17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17" s="338" t="s">
        <v>15</v>
      </c>
      <c r="AD17" s="338" t="s">
        <v>15</v>
      </c>
      <c r="AE1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17" s="419" t="s">
        <v>423</v>
      </c>
      <c r="AG17" s="336"/>
    </row>
    <row r="18" spans="1:33" s="206" customFormat="1" ht="30" customHeight="1" x14ac:dyDescent="0.25">
      <c r="A18" s="207" t="s">
        <v>236</v>
      </c>
      <c r="B18" s="207" t="s">
        <v>235</v>
      </c>
      <c r="C18" s="202" t="s">
        <v>137</v>
      </c>
      <c r="D18" s="202" t="s">
        <v>230</v>
      </c>
      <c r="E18" s="207" t="s">
        <v>213</v>
      </c>
      <c r="F18" s="207" t="s">
        <v>397</v>
      </c>
      <c r="G18" s="207" t="s">
        <v>226</v>
      </c>
      <c r="H18" s="203">
        <v>1.1666666666666667</v>
      </c>
      <c r="I18" s="203" t="s">
        <v>100</v>
      </c>
      <c r="J18" s="203" t="s">
        <v>100</v>
      </c>
      <c r="K18" s="203" t="s">
        <v>100</v>
      </c>
      <c r="L18" s="203" t="s">
        <v>100</v>
      </c>
      <c r="M18" s="203" t="s">
        <v>100</v>
      </c>
      <c r="N18" s="203" t="str">
        <f t="shared" si="0"/>
        <v>0000011</v>
      </c>
      <c r="O18" s="203">
        <v>0.5625</v>
      </c>
      <c r="P18" s="203">
        <v>0.72916666666666663</v>
      </c>
      <c r="Q18" s="203">
        <f>Planejamento2025[[#This Row],[Saída]]-Planejamento2025[[#This Row],[Entrada]]</f>
        <v>0.16666666666666663</v>
      </c>
      <c r="R18" s="331">
        <f>Planejamento2025[[#This Row],[Carga Horária]]/Q18</f>
        <v>7.0000000000000018</v>
      </c>
      <c r="S18" s="204">
        <v>45726</v>
      </c>
      <c r="T18" s="204">
        <v>45734</v>
      </c>
      <c r="U18" s="332" t="s">
        <v>198</v>
      </c>
      <c r="V18" s="333">
        <v>16</v>
      </c>
      <c r="W18" s="334" t="s">
        <v>241</v>
      </c>
      <c r="X18" s="335" t="str">
        <f>IF(Planejamento2025[[#This Row],[Fonte Pagadora]]="Anna de Moura",(W18*H18*24),"R$ 0,00")</f>
        <v>R$ 0,00</v>
      </c>
      <c r="Y18" s="335">
        <v>0</v>
      </c>
      <c r="Z18" s="335">
        <f>INDEX(Tabela1[Valor RH / Executado],MATCH(Planejamento2025[[#This Row],[ID]],Tabela1[ID],0))</f>
        <v>0</v>
      </c>
      <c r="AA18" s="292">
        <f>INDEX(Tabela1[Valor Insumo / Executado],MATCH(Planejamento2025[[#This Row],[ID]],Tabela1[ID],0))</f>
        <v>0</v>
      </c>
      <c r="AB18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8" s="332" t="s">
        <v>408</v>
      </c>
      <c r="AD18" s="332" t="s">
        <v>409</v>
      </c>
      <c r="AE1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SEBRAE / SENAI</v>
      </c>
      <c r="AF18" s="419"/>
      <c r="AG18" s="336"/>
    </row>
    <row r="19" spans="1:33" s="206" customFormat="1" ht="30" customHeight="1" x14ac:dyDescent="0.25">
      <c r="A1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PãeEsp_T1</v>
      </c>
      <c r="B19" s="207" t="s">
        <v>214</v>
      </c>
      <c r="C19" s="202" t="s">
        <v>137</v>
      </c>
      <c r="D19" s="202" t="s">
        <v>228</v>
      </c>
      <c r="E19" s="207" t="s">
        <v>213</v>
      </c>
      <c r="F19" s="207" t="s">
        <v>401</v>
      </c>
      <c r="G19" s="207" t="s">
        <v>186</v>
      </c>
      <c r="H19" s="203">
        <v>0.75</v>
      </c>
      <c r="I19" s="203"/>
      <c r="J19" s="203" t="s">
        <v>100</v>
      </c>
      <c r="K19" s="203" t="s">
        <v>100</v>
      </c>
      <c r="L19" s="203"/>
      <c r="M19" s="203"/>
      <c r="N19" s="203" t="str">
        <f t="shared" si="0"/>
        <v>1001111</v>
      </c>
      <c r="O19" s="203">
        <v>0.79166666666666663</v>
      </c>
      <c r="P19" s="203">
        <v>0.91666666666666663</v>
      </c>
      <c r="Q19" s="203">
        <f>Planejamento2025[[#This Row],[Saída]]-Planejamento2025[[#This Row],[Entrada]]</f>
        <v>0.125</v>
      </c>
      <c r="R19" s="331">
        <f>Planejamento2025[[#This Row],[Carga Horária]]/Q19</f>
        <v>6</v>
      </c>
      <c r="S19" s="204">
        <v>45727</v>
      </c>
      <c r="T19" s="204">
        <v>45742</v>
      </c>
      <c r="U19" s="332" t="s">
        <v>198</v>
      </c>
      <c r="V19" s="333">
        <v>18</v>
      </c>
      <c r="W19" s="334">
        <v>47.5</v>
      </c>
      <c r="X19" s="335">
        <f>IF(Planejamento2025[[#This Row],[Fonte Pagadora]]="Anna de Moura",(W19*H19*24),"R$ 0,00")</f>
        <v>855</v>
      </c>
      <c r="Y19" s="335">
        <f>17*30</f>
        <v>510</v>
      </c>
      <c r="Z19" s="335">
        <f>INDEX(Tabela1[Valor RH / Executado],MATCH(Planejamento2025[[#This Row],[ID]],Tabela1[ID],0))</f>
        <v>855</v>
      </c>
      <c r="AA19" s="292">
        <f>INDEX(Tabela1[Valor Insumo / Executado],MATCH(Planejamento2025[[#This Row],[ID]],Tabela1[ID],0))</f>
        <v>515.84</v>
      </c>
      <c r="AB1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9" s="332" t="s">
        <v>5</v>
      </c>
      <c r="AD19" s="332" t="s">
        <v>5</v>
      </c>
      <c r="AE1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9" s="419"/>
      <c r="AG19" s="336"/>
    </row>
    <row r="20" spans="1:33" s="206" customFormat="1" ht="30" customHeight="1" x14ac:dyDescent="0.25">
      <c r="A2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PacOff_T2</v>
      </c>
      <c r="B20" s="207" t="s">
        <v>78</v>
      </c>
      <c r="C20" s="202" t="s">
        <v>138</v>
      </c>
      <c r="D20" s="202" t="s">
        <v>230</v>
      </c>
      <c r="E20" s="207" t="s">
        <v>74</v>
      </c>
      <c r="F20" s="207" t="s">
        <v>397</v>
      </c>
      <c r="G20" s="207" t="s">
        <v>188</v>
      </c>
      <c r="H20" s="203">
        <v>4</v>
      </c>
      <c r="I20" s="203"/>
      <c r="J20" s="203" t="s">
        <v>100</v>
      </c>
      <c r="K20" s="203" t="s">
        <v>100</v>
      </c>
      <c r="L20" s="203" t="s">
        <v>100</v>
      </c>
      <c r="M20" s="203"/>
      <c r="N20" s="174" t="str">
        <f t="shared" si="0"/>
        <v>1000111</v>
      </c>
      <c r="O20" s="203">
        <v>0.625</v>
      </c>
      <c r="P20" s="203">
        <v>0.75</v>
      </c>
      <c r="Q20" s="203">
        <f>Planejamento2025[[#This Row],[Saída]]-Planejamento2025[[#This Row],[Entrada]]</f>
        <v>0.125</v>
      </c>
      <c r="R20" s="331">
        <f>Planejamento2025[[#This Row],[Carga Horária]]/Q20</f>
        <v>32</v>
      </c>
      <c r="S20" s="204">
        <v>45727</v>
      </c>
      <c r="T20" s="204">
        <f>WORKDAY.INTL(S20,R20,Planejamento2025[[#This Row],[Padrão]],Calendário!$R$4:$R$35)</f>
        <v>45805</v>
      </c>
      <c r="U20" s="332" t="s">
        <v>197</v>
      </c>
      <c r="V20" s="333">
        <v>16</v>
      </c>
      <c r="W20" s="334">
        <v>47.5</v>
      </c>
      <c r="X20" s="335">
        <f>IF(Planejamento2025[[#This Row],[Fonte Pagadora]]="Anna de Moura",(W20*H20*24),"R$ 0,00")</f>
        <v>4560</v>
      </c>
      <c r="Y20" s="335"/>
      <c r="Z20" s="335">
        <f>INDEX(Tabela1[Valor RH / Executado],MATCH(Planejamento2025[[#This Row],[ID]],Tabela1[ID],0))</f>
        <v>4560</v>
      </c>
      <c r="AA20" s="292">
        <f>INDEX(Tabela1[Valor Insumo / Executado],MATCH(Planejamento2025[[#This Row],[ID]],Tabela1[ID],0))</f>
        <v>0</v>
      </c>
      <c r="AB2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0" s="332" t="s">
        <v>5</v>
      </c>
      <c r="AD20" s="332" t="s">
        <v>15</v>
      </c>
      <c r="AE2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20" s="419"/>
      <c r="AG20" s="336"/>
    </row>
    <row r="21" spans="1:33" s="206" customFormat="1" ht="30" customHeight="1" x14ac:dyDescent="0.25">
      <c r="A21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Ban _T1</v>
      </c>
      <c r="B21" s="207" t="s">
        <v>231</v>
      </c>
      <c r="C21" s="202" t="s">
        <v>137</v>
      </c>
      <c r="D21" s="202" t="s">
        <v>228</v>
      </c>
      <c r="E21" s="207"/>
      <c r="F21" s="207"/>
      <c r="G21" s="207" t="s">
        <v>209</v>
      </c>
      <c r="H21" s="203">
        <v>1.3333333333333333</v>
      </c>
      <c r="I21" s="203"/>
      <c r="J21" s="203" t="s">
        <v>100</v>
      </c>
      <c r="K21" s="203"/>
      <c r="L21" s="203"/>
      <c r="M21" s="203"/>
      <c r="N21" s="43" t="str">
        <f t="shared" si="0"/>
        <v>1011111</v>
      </c>
      <c r="O21" s="203">
        <v>0.79166666666666663</v>
      </c>
      <c r="P21" s="203">
        <v>0.875</v>
      </c>
      <c r="Q21" s="203">
        <f>Planejamento2025[[#This Row],[Saída]]-Planejamento2025[[#This Row],[Entrada]]</f>
        <v>8.333333333333337E-2</v>
      </c>
      <c r="R21" s="331">
        <f>Planejamento2025[[#This Row],[Carga Horária]]/Q21</f>
        <v>15.999999999999993</v>
      </c>
      <c r="S21" s="204">
        <v>45727</v>
      </c>
      <c r="T21" s="204">
        <f>WORKDAY.INTL(S21,R21,Planejamento2025[[#This Row],[Padrão]],Calendário!$R$4:$R$35)</f>
        <v>45832</v>
      </c>
      <c r="U21" s="332" t="s">
        <v>232</v>
      </c>
      <c r="V21" s="333">
        <v>40</v>
      </c>
      <c r="W21" s="334"/>
      <c r="X21" s="335">
        <v>12896.25</v>
      </c>
      <c r="Y21" s="335"/>
      <c r="Z21" s="335">
        <f>INDEX(Tabela1[Valor RH / Executado],MATCH(Planejamento2025[[#This Row],[ID]],Tabela1[ID],0))</f>
        <v>7037.92</v>
      </c>
      <c r="AA21" s="292">
        <f>INDEX(Tabela1[Valor Insumo / Executado],MATCH(Planejamento2025[[#This Row],[ID]],Tabela1[ID],0))</f>
        <v>0</v>
      </c>
      <c r="AB21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1" s="332" t="s">
        <v>5</v>
      </c>
      <c r="AD21" s="332" t="s">
        <v>5</v>
      </c>
      <c r="AE2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1" s="419"/>
      <c r="AG21" s="336"/>
    </row>
    <row r="22" spans="1:33" s="206" customFormat="1" ht="30" customHeight="1" x14ac:dyDescent="0.25">
      <c r="A22" s="207" t="s">
        <v>234</v>
      </c>
      <c r="B22" s="207" t="s">
        <v>233</v>
      </c>
      <c r="C22" s="202" t="s">
        <v>137</v>
      </c>
      <c r="D22" s="202" t="s">
        <v>229</v>
      </c>
      <c r="E22" s="207" t="s">
        <v>211</v>
      </c>
      <c r="F22" s="207" t="s">
        <v>397</v>
      </c>
      <c r="G22" s="207" t="s">
        <v>253</v>
      </c>
      <c r="H22" s="203">
        <v>1.5</v>
      </c>
      <c r="I22" s="203" t="s">
        <v>100</v>
      </c>
      <c r="J22" s="203" t="s">
        <v>100</v>
      </c>
      <c r="K22" s="203" t="s">
        <v>100</v>
      </c>
      <c r="L22" s="203" t="s">
        <v>100</v>
      </c>
      <c r="M22" s="203" t="s">
        <v>100</v>
      </c>
      <c r="N22" s="203" t="str">
        <f t="shared" si="0"/>
        <v>0000011</v>
      </c>
      <c r="O22" s="203">
        <v>0.33333333333333331</v>
      </c>
      <c r="P22" s="203">
        <v>0.5</v>
      </c>
      <c r="Q22" s="203">
        <f>Planejamento2025[[#This Row],[Saída]]-Planejamento2025[[#This Row],[Entrada]]</f>
        <v>0.16666666666666669</v>
      </c>
      <c r="R22" s="331">
        <f>Planejamento2025[[#This Row],[Carga Horária]]/Q22</f>
        <v>8.9999999999999982</v>
      </c>
      <c r="S22" s="204">
        <v>45728</v>
      </c>
      <c r="T22" s="204">
        <v>45741</v>
      </c>
      <c r="U22" s="332" t="s">
        <v>198</v>
      </c>
      <c r="V22" s="333">
        <v>16</v>
      </c>
      <c r="W22" s="334">
        <v>47.5</v>
      </c>
      <c r="X22" s="335" t="str">
        <f>IF(Planejamento2025[[#This Row],[Fonte Pagadora]]="Anna de Moura",(W22*H22*24),"R$ 0,00")</f>
        <v>R$ 0,00</v>
      </c>
      <c r="Y22" s="335"/>
      <c r="Z22" s="335">
        <f>INDEX(Tabela1[Valor RH / Executado],MATCH(Planejamento2025[[#This Row],[ID]],Tabela1[ID],0))</f>
        <v>0</v>
      </c>
      <c r="AA22" s="292">
        <f>INDEX(Tabela1[Valor Insumo / Executado],MATCH(Planejamento2025[[#This Row],[ID]],Tabela1[ID],0))</f>
        <v>0</v>
      </c>
      <c r="AB2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2" s="332" t="s">
        <v>408</v>
      </c>
      <c r="AD22" s="332" t="s">
        <v>409</v>
      </c>
      <c r="AE2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SEBRAE / SENAI</v>
      </c>
      <c r="AF22" s="419"/>
      <c r="AG22" s="336"/>
    </row>
    <row r="23" spans="1:33" s="206" customFormat="1" ht="30" customHeight="1" x14ac:dyDescent="0.25">
      <c r="A2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_T2</v>
      </c>
      <c r="B23" s="207" t="s">
        <v>153</v>
      </c>
      <c r="C23" s="202" t="s">
        <v>138</v>
      </c>
      <c r="D23" s="202" t="s">
        <v>230</v>
      </c>
      <c r="E23" s="207" t="s">
        <v>182</v>
      </c>
      <c r="F23" s="207" t="s">
        <v>401</v>
      </c>
      <c r="G23" s="207" t="s">
        <v>195</v>
      </c>
      <c r="H23" s="203">
        <v>1.5416666666666667</v>
      </c>
      <c r="I23" s="203"/>
      <c r="J23" s="203"/>
      <c r="K23" s="203"/>
      <c r="L23" s="203" t="s">
        <v>100</v>
      </c>
      <c r="M23" s="203"/>
      <c r="N23" s="174" t="str">
        <f t="shared" si="0"/>
        <v>1110111</v>
      </c>
      <c r="O23" s="203">
        <v>0.625</v>
      </c>
      <c r="P23" s="203">
        <v>0.75</v>
      </c>
      <c r="Q23" s="203">
        <f>Planejamento2025[[#This Row],[Saída]]-Planejamento2025[[#This Row],[Entrada]]</f>
        <v>0.125</v>
      </c>
      <c r="R23" s="331">
        <f>Planejamento2025[[#This Row],[Carga Horária]]/Q23</f>
        <v>12.333333333333334</v>
      </c>
      <c r="S23" s="204">
        <v>45729</v>
      </c>
      <c r="T23" s="204">
        <f>WORKDAY.INTL(S23,R23,Planejamento2025[[#This Row],[Padrão]],Calendário!$R$4:$R$35)</f>
        <v>45834</v>
      </c>
      <c r="U23" s="332" t="s">
        <v>200</v>
      </c>
      <c r="V23" s="333">
        <v>32</v>
      </c>
      <c r="W23" s="334">
        <v>47.5</v>
      </c>
      <c r="X23" s="335">
        <f>IF(Planejamento2025[[#This Row],[Fonte Pagadora]]="Anna de Moura",(W23*H23*24),"R$ 0,00")</f>
        <v>1757.5</v>
      </c>
      <c r="Y23" s="335"/>
      <c r="Z23" s="335">
        <f>INDEX(Tabela1[Valor RH / Executado],MATCH(Planejamento2025[[#This Row],[ID]],Tabela1[ID],0))</f>
        <v>1852.5</v>
      </c>
      <c r="AA23" s="292">
        <f>INDEX(Tabela1[Valor Insumo / Executado],MATCH(Planejamento2025[[#This Row],[ID]],Tabela1[ID],0))</f>
        <v>0</v>
      </c>
      <c r="AB2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3" s="332" t="s">
        <v>5</v>
      </c>
      <c r="AD23" s="332" t="s">
        <v>5</v>
      </c>
      <c r="AE2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3" s="419"/>
      <c r="AG23" s="336"/>
    </row>
    <row r="24" spans="1:33" s="206" customFormat="1" ht="30" customHeight="1" x14ac:dyDescent="0.25">
      <c r="A24" s="207" t="s">
        <v>238</v>
      </c>
      <c r="B24" s="207" t="s">
        <v>237</v>
      </c>
      <c r="C24" s="202" t="s">
        <v>137</v>
      </c>
      <c r="D24" s="202" t="s">
        <v>229</v>
      </c>
      <c r="E24" s="207" t="s">
        <v>211</v>
      </c>
      <c r="F24" s="207" t="s">
        <v>399</v>
      </c>
      <c r="G24" s="207" t="s">
        <v>253</v>
      </c>
      <c r="H24" s="203">
        <v>6.666666666666667</v>
      </c>
      <c r="I24" s="203" t="s">
        <v>100</v>
      </c>
      <c r="J24" s="203" t="s">
        <v>100</v>
      </c>
      <c r="K24" s="203" t="s">
        <v>100</v>
      </c>
      <c r="L24" s="203" t="s">
        <v>100</v>
      </c>
      <c r="M24" s="203" t="s">
        <v>100</v>
      </c>
      <c r="N24" s="193" t="str">
        <f t="shared" si="0"/>
        <v>0000011</v>
      </c>
      <c r="O24" s="203">
        <v>0.33333333333333331</v>
      </c>
      <c r="P24" s="203">
        <v>0.5</v>
      </c>
      <c r="Q24" s="203">
        <f>Planejamento2025[[#This Row],[Saída]]-Planejamento2025[[#This Row],[Entrada]]</f>
        <v>0.16666666666666669</v>
      </c>
      <c r="R24" s="331">
        <f>Planejamento2025[[#This Row],[Carga Horária]]/Q24</f>
        <v>40</v>
      </c>
      <c r="S24" s="204">
        <v>45743</v>
      </c>
      <c r="T24" s="204">
        <f>WORKDAY.INTL(S24,R24,Planejamento2025[[#This Row],[Padrão]],Calendário!$R$4:$R$35)</f>
        <v>45805</v>
      </c>
      <c r="U24" s="332" t="s">
        <v>198</v>
      </c>
      <c r="V24" s="333">
        <v>16</v>
      </c>
      <c r="W24" s="334">
        <v>47.5</v>
      </c>
      <c r="X24" s="335" t="str">
        <f>IF(Planejamento2025[[#This Row],[Fonte Pagadora]]="Anna de Moura",(W24*H24*24),"R$ 0,00")</f>
        <v>R$ 0,00</v>
      </c>
      <c r="Y24" s="335"/>
      <c r="Z24" s="335">
        <f>INDEX(Tabela1[Valor RH / Executado],MATCH(Planejamento2025[[#This Row],[ID]],Tabela1[ID],0))</f>
        <v>0</v>
      </c>
      <c r="AA24" s="292">
        <f>INDEX(Tabela1[Valor Insumo / Executado],MATCH(Planejamento2025[[#This Row],[ID]],Tabela1[ID],0))</f>
        <v>0</v>
      </c>
      <c r="AB2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4" s="332" t="s">
        <v>15</v>
      </c>
      <c r="AD24" s="332" t="s">
        <v>15</v>
      </c>
      <c r="AE2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4" s="419"/>
      <c r="AG24" s="336"/>
    </row>
    <row r="25" spans="1:33" s="206" customFormat="1" ht="30" customHeight="1" x14ac:dyDescent="0.25">
      <c r="A25" s="207" t="s">
        <v>239</v>
      </c>
      <c r="B25" s="207" t="s">
        <v>237</v>
      </c>
      <c r="C25" s="202" t="s">
        <v>138</v>
      </c>
      <c r="D25" s="202" t="s">
        <v>230</v>
      </c>
      <c r="E25" s="207" t="s">
        <v>211</v>
      </c>
      <c r="F25" s="207" t="s">
        <v>399</v>
      </c>
      <c r="G25" s="207" t="s">
        <v>253</v>
      </c>
      <c r="H25" s="203">
        <v>6.666666666666667</v>
      </c>
      <c r="I25" s="203" t="s">
        <v>100</v>
      </c>
      <c r="J25" s="203" t="s">
        <v>100</v>
      </c>
      <c r="K25" s="203" t="s">
        <v>100</v>
      </c>
      <c r="L25" s="203" t="s">
        <v>100</v>
      </c>
      <c r="M25" s="203" t="s">
        <v>100</v>
      </c>
      <c r="N25" s="193" t="str">
        <f t="shared" si="0"/>
        <v>0000011</v>
      </c>
      <c r="O25" s="203">
        <v>0.54166666666666663</v>
      </c>
      <c r="P25" s="203">
        <v>0.70833333333333337</v>
      </c>
      <c r="Q25" s="203">
        <f>Planejamento2025[[#This Row],[Saída]]-Planejamento2025[[#This Row],[Entrada]]</f>
        <v>0.16666666666666674</v>
      </c>
      <c r="R25" s="331">
        <f>Planejamento2025[[#This Row],[Carga Horária]]/Q25</f>
        <v>39.999999999999986</v>
      </c>
      <c r="S25" s="204">
        <v>45743</v>
      </c>
      <c r="T25" s="204">
        <v>45805</v>
      </c>
      <c r="U25" s="332" t="s">
        <v>198</v>
      </c>
      <c r="V25" s="333">
        <v>16</v>
      </c>
      <c r="W25" s="334">
        <v>47.5</v>
      </c>
      <c r="X25" s="335" t="str">
        <f>IF(Planejamento2025[[#This Row],[Fonte Pagadora]]="Anna de Moura",(W25*H25*24),"R$ 0,00")</f>
        <v>R$ 0,00</v>
      </c>
      <c r="Y25" s="335"/>
      <c r="Z25" s="335">
        <f>INDEX(Tabela1[Valor RH / Executado],MATCH(Planejamento2025[[#This Row],[ID]],Tabela1[ID],0))</f>
        <v>0</v>
      </c>
      <c r="AA25" s="292">
        <f>INDEX(Tabela1[Valor Insumo / Executado],MATCH(Planejamento2025[[#This Row],[ID]],Tabela1[ID],0))</f>
        <v>0</v>
      </c>
      <c r="AB2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5" s="332" t="s">
        <v>15</v>
      </c>
      <c r="AD25" s="332" t="s">
        <v>15</v>
      </c>
      <c r="AE2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5" s="419"/>
      <c r="AG25" s="336"/>
    </row>
    <row r="26" spans="1:33" s="206" customFormat="1" ht="30" customHeight="1" x14ac:dyDescent="0.25">
      <c r="A2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MasFol_T1</v>
      </c>
      <c r="B26" s="207" t="s">
        <v>215</v>
      </c>
      <c r="C26" s="202" t="s">
        <v>137</v>
      </c>
      <c r="D26" s="202" t="s">
        <v>228</v>
      </c>
      <c r="E26" s="207" t="s">
        <v>213</v>
      </c>
      <c r="F26" s="207" t="s">
        <v>401</v>
      </c>
      <c r="G26" s="207" t="s">
        <v>186</v>
      </c>
      <c r="H26" s="203">
        <v>0.625</v>
      </c>
      <c r="I26" s="203"/>
      <c r="J26" s="203" t="s">
        <v>100</v>
      </c>
      <c r="K26" s="203" t="s">
        <v>100</v>
      </c>
      <c r="L26" s="203"/>
      <c r="M26" s="203"/>
      <c r="N26" s="212" t="str">
        <f t="shared" si="0"/>
        <v>1001111</v>
      </c>
      <c r="O26" s="203">
        <v>0.79166666666666663</v>
      </c>
      <c r="P26" s="203">
        <v>0.91666666666666663</v>
      </c>
      <c r="Q26" s="203">
        <f>Planejamento2025[[#This Row],[Saída]]-Planejamento2025[[#This Row],[Entrada]]</f>
        <v>0.125</v>
      </c>
      <c r="R26" s="331">
        <f>Planejamento2025[[#This Row],[Carga Horária]]/Q26</f>
        <v>5</v>
      </c>
      <c r="S26" s="204">
        <v>45748</v>
      </c>
      <c r="T26" s="204">
        <v>45762</v>
      </c>
      <c r="U26" s="332" t="s">
        <v>198</v>
      </c>
      <c r="V26" s="333">
        <v>16</v>
      </c>
      <c r="W26" s="334">
        <v>47.5</v>
      </c>
      <c r="X26" s="335">
        <f>IF(Planejamento2025[[#This Row],[Fonte Pagadora]]="Anna de Moura",(W26*H26*24),"R$ 0,00")</f>
        <v>712.5</v>
      </c>
      <c r="Y26" s="335">
        <f>13*30</f>
        <v>390</v>
      </c>
      <c r="Z26" s="335">
        <f>INDEX(Tabela1[Valor RH / Executado],MATCH(Planejamento2025[[#This Row],[ID]],Tabela1[ID],0))</f>
        <v>712.5</v>
      </c>
      <c r="AA26" s="292">
        <f>INDEX(Tabela1[Valor Insumo / Executado],MATCH(Planejamento2025[[#This Row],[ID]],Tabela1[ID],0))</f>
        <v>767.87</v>
      </c>
      <c r="AB2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6" s="332" t="s">
        <v>5</v>
      </c>
      <c r="AD26" s="332" t="s">
        <v>5</v>
      </c>
      <c r="AE2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6" s="419"/>
      <c r="AG26" s="336"/>
    </row>
    <row r="27" spans="1:33" s="387" customFormat="1" ht="30" customHeight="1" x14ac:dyDescent="0.25">
      <c r="A2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ExcBás_T1</v>
      </c>
      <c r="B27" s="207" t="s">
        <v>260</v>
      </c>
      <c r="C27" s="202" t="s">
        <v>137</v>
      </c>
      <c r="D27" s="202" t="s">
        <v>229</v>
      </c>
      <c r="E27" s="207" t="s">
        <v>74</v>
      </c>
      <c r="F27" s="207" t="s">
        <v>397</v>
      </c>
      <c r="G27" s="207" t="s">
        <v>263</v>
      </c>
      <c r="H27" s="203">
        <v>1.6666666666666667</v>
      </c>
      <c r="I27" s="203" t="s">
        <v>100</v>
      </c>
      <c r="J27" s="203"/>
      <c r="K27" s="203"/>
      <c r="L27" s="203"/>
      <c r="M27" s="203"/>
      <c r="N27" s="43" t="str">
        <f t="shared" si="0"/>
        <v>0111111</v>
      </c>
      <c r="O27" s="203">
        <v>0.33333333333333331</v>
      </c>
      <c r="P27" s="203">
        <v>0.5</v>
      </c>
      <c r="Q27" s="203">
        <f>Planejamento2025[[#This Row],[Saída]]-Planejamento2025[[#This Row],[Entrada]]</f>
        <v>0.16666666666666669</v>
      </c>
      <c r="R27" s="331">
        <f>Planejamento2025[[#This Row],[Carga Horária]]/Q27</f>
        <v>10</v>
      </c>
      <c r="S27" s="204">
        <v>45754</v>
      </c>
      <c r="T27" s="204">
        <v>45833</v>
      </c>
      <c r="U27" s="332" t="s">
        <v>264</v>
      </c>
      <c r="V27" s="333">
        <v>16</v>
      </c>
      <c r="W27" s="334"/>
      <c r="X27" s="335" t="str">
        <f>IF(Planejamento2025[[#This Row],[Fonte Pagadora]]="Anna de Moura",(W27*H27*24),"R$ 0,00")</f>
        <v>R$ 0,00</v>
      </c>
      <c r="Y27" s="335"/>
      <c r="Z27" s="335">
        <f>INDEX(Tabela1[Valor RH / Executado],MATCH(Planejamento2025[[#This Row],[ID]],Tabela1[ID],0))</f>
        <v>0</v>
      </c>
      <c r="AA27" s="292">
        <f>INDEX(Tabela1[Valor Insumo / Executado],MATCH(Planejamento2025[[#This Row],[ID]],Tabela1[ID],0))</f>
        <v>0</v>
      </c>
      <c r="AB2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7" s="332" t="s">
        <v>15</v>
      </c>
      <c r="AD27" s="332" t="s">
        <v>15</v>
      </c>
      <c r="AE2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7" s="419"/>
      <c r="AG27" s="336"/>
    </row>
    <row r="28" spans="1:33" s="327" customFormat="1" ht="30" customHeight="1" x14ac:dyDescent="0.25">
      <c r="A2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PlaCon_T1</v>
      </c>
      <c r="B28" s="337" t="s">
        <v>254</v>
      </c>
      <c r="C28" s="47" t="s">
        <v>137</v>
      </c>
      <c r="D28" s="47" t="s">
        <v>230</v>
      </c>
      <c r="E28" s="337" t="s">
        <v>76</v>
      </c>
      <c r="F28" s="337" t="s">
        <v>397</v>
      </c>
      <c r="G28" s="337" t="s">
        <v>433</v>
      </c>
      <c r="H28" s="43">
        <v>1.6666666666666667</v>
      </c>
      <c r="I28" s="43"/>
      <c r="J28" s="43"/>
      <c r="K28" s="43"/>
      <c r="L28" s="43" t="s">
        <v>100</v>
      </c>
      <c r="M28" s="43"/>
      <c r="N28" s="43" t="str">
        <f t="shared" si="0"/>
        <v>1110111</v>
      </c>
      <c r="O28" s="43">
        <v>0.58333333333333337</v>
      </c>
      <c r="P28" s="43">
        <v>0.70833333333333337</v>
      </c>
      <c r="Q28" s="43">
        <f>Planejamento2025[[#This Row],[Saída]]-Planejamento2025[[#This Row],[Entrada]]</f>
        <v>0.125</v>
      </c>
      <c r="R28" s="130">
        <f>Planejamento2025[[#This Row],[Carga Horária]]/Q28</f>
        <v>13.333333333333334</v>
      </c>
      <c r="S28" s="44">
        <v>45757</v>
      </c>
      <c r="T28" s="44">
        <v>45890</v>
      </c>
      <c r="U28" s="338" t="s">
        <v>199</v>
      </c>
      <c r="V28" s="339">
        <v>16</v>
      </c>
      <c r="W28" s="340"/>
      <c r="X28" s="341" t="str">
        <f>IF(Planejamento2025[[#This Row],[Fonte Pagadora]]="Anna de Moura",(W28*H28*24),"R$ 0,00")</f>
        <v>R$ 0,00</v>
      </c>
      <c r="Y28" s="341">
        <v>0</v>
      </c>
      <c r="Z28" s="341">
        <f>INDEX(Tabela1[Valor RH / Executado],MATCH(Planejamento2025[[#This Row],[ID]],Tabela1[ID],0))</f>
        <v>0</v>
      </c>
      <c r="AA28" s="184">
        <f>INDEX(Tabela1[Valor Insumo / Executado],MATCH(Planejamento2025[[#This Row],[ID]],Tabela1[ID],0))</f>
        <v>0</v>
      </c>
      <c r="AB28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28" s="338" t="s">
        <v>15</v>
      </c>
      <c r="AD28" s="338" t="s">
        <v>15</v>
      </c>
      <c r="AE2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8" s="419" t="s">
        <v>418</v>
      </c>
      <c r="AG28" s="336"/>
    </row>
    <row r="29" spans="1:33" s="206" customFormat="1" ht="30" customHeight="1" x14ac:dyDescent="0.25">
      <c r="A2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Caf _T1</v>
      </c>
      <c r="B29" s="207" t="s">
        <v>216</v>
      </c>
      <c r="C29" s="202" t="s">
        <v>137</v>
      </c>
      <c r="D29" s="202" t="s">
        <v>228</v>
      </c>
      <c r="E29" s="207" t="s">
        <v>213</v>
      </c>
      <c r="F29" s="207" t="s">
        <v>401</v>
      </c>
      <c r="G29" s="207" t="s">
        <v>186</v>
      </c>
      <c r="H29" s="203">
        <v>0.625</v>
      </c>
      <c r="I29" s="203"/>
      <c r="J29" s="203" t="s">
        <v>100</v>
      </c>
      <c r="K29" s="203" t="s">
        <v>100</v>
      </c>
      <c r="L29" s="203"/>
      <c r="M29" s="203"/>
      <c r="N29" s="212" t="str">
        <f t="shared" si="0"/>
        <v>1001111</v>
      </c>
      <c r="O29" s="203">
        <v>0.79166666666666663</v>
      </c>
      <c r="P29" s="203">
        <v>0.91666666666666663</v>
      </c>
      <c r="Q29" s="203">
        <f>Planejamento2025[[#This Row],[Saída]]-Planejamento2025[[#This Row],[Entrada]]</f>
        <v>0.125</v>
      </c>
      <c r="R29" s="331">
        <f>Planejamento2025[[#This Row],[Carga Horária]]/Q29</f>
        <v>5</v>
      </c>
      <c r="S29" s="204">
        <v>45769</v>
      </c>
      <c r="T29" s="204">
        <v>45783</v>
      </c>
      <c r="U29" s="332" t="s">
        <v>198</v>
      </c>
      <c r="V29" s="333">
        <v>16</v>
      </c>
      <c r="W29" s="334">
        <v>47.5</v>
      </c>
      <c r="X29" s="335">
        <f>IF(Planejamento2025[[#This Row],[Fonte Pagadora]]="Anna de Moura",(W29*H29*24),"R$ 0,00")</f>
        <v>712.5</v>
      </c>
      <c r="Y29" s="335">
        <f>16*30</f>
        <v>480</v>
      </c>
      <c r="Z29" s="335">
        <f>INDEX(Tabela1[Valor RH / Executado],MATCH(Planejamento2025[[#This Row],[ID]],Tabela1[ID],0))</f>
        <v>712.5</v>
      </c>
      <c r="AA29" s="292">
        <f>INDEX(Tabela1[Valor Insumo / Executado],MATCH(Planejamento2025[[#This Row],[ID]],Tabela1[ID],0))</f>
        <v>247.09</v>
      </c>
      <c r="AB2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9" s="332" t="s">
        <v>5</v>
      </c>
      <c r="AD29" s="332" t="s">
        <v>5</v>
      </c>
      <c r="AE2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9" s="419"/>
      <c r="AG29" s="336"/>
    </row>
    <row r="30" spans="1:33" s="327" customFormat="1" ht="30" customHeight="1" x14ac:dyDescent="0.25">
      <c r="A30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PacOff_T3</v>
      </c>
      <c r="B30" s="337" t="s">
        <v>78</v>
      </c>
      <c r="C30" s="47" t="s">
        <v>252</v>
      </c>
      <c r="D30" s="47" t="s">
        <v>230</v>
      </c>
      <c r="E30" s="337" t="s">
        <v>74</v>
      </c>
      <c r="F30" s="337" t="s">
        <v>397</v>
      </c>
      <c r="G30" s="337" t="s">
        <v>347</v>
      </c>
      <c r="H30" s="43">
        <v>4</v>
      </c>
      <c r="I30" s="43" t="s">
        <v>100</v>
      </c>
      <c r="J30" s="43"/>
      <c r="K30" s="43"/>
      <c r="L30" s="43"/>
      <c r="M30" s="43" t="s">
        <v>100</v>
      </c>
      <c r="N30" s="43" t="str">
        <f t="shared" si="0"/>
        <v>0111011</v>
      </c>
      <c r="O30" s="43">
        <v>0.58333333333333337</v>
      </c>
      <c r="P30" s="43">
        <v>0.70833333333333337</v>
      </c>
      <c r="Q30" s="43">
        <f>Planejamento2025[[#This Row],[Saída]]-Planejamento2025[[#This Row],[Entrada]]</f>
        <v>0.125</v>
      </c>
      <c r="R30" s="130">
        <f>Planejamento2025[[#This Row],[Carga Horária]]/Q30</f>
        <v>32</v>
      </c>
      <c r="S30" s="44">
        <v>45772</v>
      </c>
      <c r="T30" s="44">
        <v>45905</v>
      </c>
      <c r="U30" s="338" t="s">
        <v>199</v>
      </c>
      <c r="V30" s="339">
        <v>16</v>
      </c>
      <c r="W30" s="340"/>
      <c r="X30" s="341" t="str">
        <f>IF(Planejamento2025[[#This Row],[Fonte Pagadora]]="Anna de Moura",(W30*H30*24),"R$ 0,00")</f>
        <v>R$ 0,00</v>
      </c>
      <c r="Y30" s="341"/>
      <c r="Z30" s="341">
        <f>INDEX(Tabela1[Valor RH / Executado],MATCH(Planejamento2025[[#This Row],[ID]],Tabela1[ID],0))</f>
        <v>0</v>
      </c>
      <c r="AA30" s="184">
        <f>INDEX(Tabela1[Valor Insumo / Executado],MATCH(Planejamento2025[[#This Row],[ID]],Tabela1[ID],0))</f>
        <v>0</v>
      </c>
      <c r="AB30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0" s="338" t="s">
        <v>15</v>
      </c>
      <c r="AD30" s="338" t="s">
        <v>15</v>
      </c>
      <c r="AE3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0" s="419" t="s">
        <v>420</v>
      </c>
      <c r="AG30" s="336"/>
    </row>
    <row r="31" spans="1:33" s="327" customFormat="1" ht="30" customHeight="1" x14ac:dyDescent="0.25">
      <c r="A31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AuxAdm_T2</v>
      </c>
      <c r="B31" s="337" t="s">
        <v>77</v>
      </c>
      <c r="C31" s="47" t="s">
        <v>138</v>
      </c>
      <c r="D31" s="47" t="s">
        <v>230</v>
      </c>
      <c r="E31" s="337" t="s">
        <v>76</v>
      </c>
      <c r="F31" s="337" t="s">
        <v>399</v>
      </c>
      <c r="G31" s="337" t="s">
        <v>433</v>
      </c>
      <c r="H31" s="43">
        <v>6.666666666666667</v>
      </c>
      <c r="I31" s="43"/>
      <c r="J31" s="43"/>
      <c r="K31" s="43" t="s">
        <v>100</v>
      </c>
      <c r="L31" s="43"/>
      <c r="M31" s="43" t="s">
        <v>100</v>
      </c>
      <c r="N31" s="43" t="str">
        <f t="shared" si="0"/>
        <v>1101011</v>
      </c>
      <c r="O31" s="43">
        <v>0.58333333333333337</v>
      </c>
      <c r="P31" s="43">
        <v>0.70833333333333337</v>
      </c>
      <c r="Q31" s="43">
        <f>Planejamento2025[[#This Row],[Saída]]-Planejamento2025[[#This Row],[Entrada]]</f>
        <v>0.125</v>
      </c>
      <c r="R31" s="130">
        <f>Planejamento2025[[#This Row],[Carga Horária]]/Q31</f>
        <v>53.333333333333336</v>
      </c>
      <c r="S31" s="44">
        <v>45777</v>
      </c>
      <c r="T31" s="44">
        <v>45980</v>
      </c>
      <c r="U31" s="338" t="s">
        <v>199</v>
      </c>
      <c r="V31" s="339">
        <v>19</v>
      </c>
      <c r="W31" s="340" t="s">
        <v>241</v>
      </c>
      <c r="X31" s="341" t="str">
        <f>IF(Planejamento2025[[#This Row],[Fonte Pagadora]]="Anna de Moura",(W31*H31*24),"R$ 0,00")</f>
        <v>R$ 0,00</v>
      </c>
      <c r="Y31" s="341"/>
      <c r="Z31" s="341">
        <f>INDEX(Tabela1[Valor RH / Executado],MATCH(Planejamento2025[[#This Row],[ID]],Tabela1[ID],0))</f>
        <v>0</v>
      </c>
      <c r="AA31" s="184">
        <f>INDEX(Tabela1[Valor Insumo / Executado],MATCH(Planejamento2025[[#This Row],[ID]],Tabela1[ID],0))</f>
        <v>0</v>
      </c>
      <c r="AB31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1" s="338" t="s">
        <v>15</v>
      </c>
      <c r="AD31" s="338" t="s">
        <v>15</v>
      </c>
      <c r="AE3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1" s="419" t="s">
        <v>418</v>
      </c>
      <c r="AG31" s="336"/>
    </row>
    <row r="32" spans="1:33" s="200" customFormat="1" ht="30" customHeight="1" x14ac:dyDescent="0.25">
      <c r="A32" s="342" t="s">
        <v>268</v>
      </c>
      <c r="B32" s="342" t="s">
        <v>267</v>
      </c>
      <c r="C32" s="176" t="s">
        <v>137</v>
      </c>
      <c r="D32" s="176" t="s">
        <v>228</v>
      </c>
      <c r="E32" s="342" t="s">
        <v>76</v>
      </c>
      <c r="F32" s="342" t="s">
        <v>401</v>
      </c>
      <c r="G32" s="342" t="s">
        <v>269</v>
      </c>
      <c r="H32" s="175">
        <v>5.25</v>
      </c>
      <c r="I32" s="175"/>
      <c r="J32" s="175" t="s">
        <v>100</v>
      </c>
      <c r="K32" s="175" t="s">
        <v>100</v>
      </c>
      <c r="L32" s="175" t="s">
        <v>100</v>
      </c>
      <c r="M32" s="175"/>
      <c r="N32" s="175" t="str">
        <f t="shared" si="0"/>
        <v>1000111</v>
      </c>
      <c r="O32" s="175">
        <v>0.58333333333333337</v>
      </c>
      <c r="P32" s="175">
        <v>0.70833333333333337</v>
      </c>
      <c r="Q32" s="175">
        <f>Planejamento2025[[#This Row],[Saída]]-Planejamento2025[[#This Row],[Entrada]]</f>
        <v>0.125</v>
      </c>
      <c r="R32" s="177">
        <f>Planejamento2025[[#This Row],[Carga Horária]]/Q32</f>
        <v>42</v>
      </c>
      <c r="S32" s="178">
        <v>45783</v>
      </c>
      <c r="T32" s="178">
        <v>45869</v>
      </c>
      <c r="U32" s="343" t="s">
        <v>270</v>
      </c>
      <c r="V32" s="344">
        <v>25</v>
      </c>
      <c r="W32" s="345" t="s">
        <v>241</v>
      </c>
      <c r="X32" s="346" t="str">
        <f>IF(Planejamento2025[[#This Row],[Fonte Pagadora]]="Anna de Moura",(W32*H32*24),"R$ 0,00")</f>
        <v>R$ 0,00</v>
      </c>
      <c r="Y32" s="346"/>
      <c r="Z32" s="346">
        <f>INDEX(Tabela1[Valor RH / Executado],MATCH(Planejamento2025[[#This Row],[ID]],Tabela1[ID],0))</f>
        <v>0</v>
      </c>
      <c r="AA32" s="293">
        <f>INDEX(Tabela1[Valor Insumo / Executado],MATCH(Planejamento2025[[#This Row],[ID]],Tabela1[ID],0))</f>
        <v>0</v>
      </c>
      <c r="AB32" s="199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2" s="343" t="s">
        <v>271</v>
      </c>
      <c r="AD32" s="343" t="s">
        <v>271</v>
      </c>
      <c r="AE3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Outros</v>
      </c>
      <c r="AF32" s="419" t="s">
        <v>422</v>
      </c>
      <c r="AG32" s="336"/>
    </row>
    <row r="33" spans="1:33" s="206" customFormat="1" ht="30" customHeight="1" x14ac:dyDescent="0.25">
      <c r="A3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Por _T1</v>
      </c>
      <c r="B33" s="207" t="s">
        <v>178</v>
      </c>
      <c r="C33" s="202" t="s">
        <v>137</v>
      </c>
      <c r="D33" s="202" t="s">
        <v>228</v>
      </c>
      <c r="E33" s="207" t="s">
        <v>76</v>
      </c>
      <c r="F33" s="207" t="s">
        <v>401</v>
      </c>
      <c r="G33" s="207" t="s">
        <v>188</v>
      </c>
      <c r="H33" s="203">
        <v>1.25</v>
      </c>
      <c r="I33" s="203"/>
      <c r="J33" s="203" t="s">
        <v>100</v>
      </c>
      <c r="K33" s="203"/>
      <c r="L33" s="203" t="s">
        <v>100</v>
      </c>
      <c r="M33" s="203"/>
      <c r="N33" s="174" t="str">
        <f t="shared" si="0"/>
        <v>1010111</v>
      </c>
      <c r="O33" s="203">
        <v>0.79166666666666663</v>
      </c>
      <c r="P33" s="203">
        <v>0.91666666666666663</v>
      </c>
      <c r="Q33" s="203">
        <f>Planejamento2025[[#This Row],[Saída]]-Planejamento2025[[#This Row],[Entrada]]</f>
        <v>0.125</v>
      </c>
      <c r="R33" s="331">
        <f>Planejamento2025[[#This Row],[Carga Horária]]/Q33</f>
        <v>10</v>
      </c>
      <c r="S33" s="204">
        <v>45790</v>
      </c>
      <c r="T33" s="204">
        <v>45820</v>
      </c>
      <c r="U33" s="332" t="s">
        <v>198</v>
      </c>
      <c r="V33" s="333">
        <v>20</v>
      </c>
      <c r="W33" s="334">
        <v>47.5</v>
      </c>
      <c r="X33" s="335">
        <f>IF(Planejamento2025[[#This Row],[Fonte Pagadora]]="Anna de Moura",(W33*H33*24),"R$ 0,00")</f>
        <v>1425</v>
      </c>
      <c r="Y33" s="335"/>
      <c r="Z33" s="335">
        <f>INDEX(Tabela1[Valor RH / Executado],MATCH(Planejamento2025[[#This Row],[ID]],Tabela1[ID],0))</f>
        <v>1425</v>
      </c>
      <c r="AA33" s="292">
        <f>INDEX(Tabela1[Valor Insumo / Executado],MATCH(Planejamento2025[[#This Row],[ID]],Tabela1[ID],0))</f>
        <v>0</v>
      </c>
      <c r="AB3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3" s="332" t="s">
        <v>5</v>
      </c>
      <c r="AD33" s="332" t="s">
        <v>5</v>
      </c>
      <c r="AE3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33" s="419"/>
      <c r="AG33" s="336"/>
    </row>
    <row r="34" spans="1:33" s="206" customFormat="1" ht="30" customHeight="1" x14ac:dyDescent="0.25">
      <c r="A3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MicPow_T1</v>
      </c>
      <c r="B34" s="207" t="s">
        <v>87</v>
      </c>
      <c r="C34" s="202" t="s">
        <v>137</v>
      </c>
      <c r="D34" s="202" t="s">
        <v>228</v>
      </c>
      <c r="E34" s="207" t="s">
        <v>74</v>
      </c>
      <c r="F34" s="207" t="s">
        <v>397</v>
      </c>
      <c r="G34" s="207" t="s">
        <v>187</v>
      </c>
      <c r="H34" s="203">
        <v>1.3333333333333333</v>
      </c>
      <c r="I34" s="203"/>
      <c r="J34" s="203" t="s">
        <v>139</v>
      </c>
      <c r="K34" s="203" t="s">
        <v>100</v>
      </c>
      <c r="L34" s="203" t="s">
        <v>139</v>
      </c>
      <c r="M34" s="203"/>
      <c r="N34" s="174" t="str">
        <f t="shared" ref="N34:N65" si="1">IF(I34="X","0","1")&amp;IF(J34="X","0","1")&amp;IF(K34="X","0","1")&amp;IF(L34="X","0","1")&amp;IF(M34="X","0","1")&amp;"11"</f>
        <v>1000111</v>
      </c>
      <c r="O34" s="203">
        <v>0.79166666666666663</v>
      </c>
      <c r="P34" s="203">
        <v>0.91666666666666663</v>
      </c>
      <c r="Q34" s="203">
        <f>Planejamento2025[[#This Row],[Saída]]-Planejamento2025[[#This Row],[Entrada]]</f>
        <v>0.125</v>
      </c>
      <c r="R34" s="331">
        <f>Planejamento2025[[#This Row],[Carga Horária]]/Q34</f>
        <v>10.666666666666666</v>
      </c>
      <c r="S34" s="204">
        <v>45790</v>
      </c>
      <c r="T34" s="204">
        <v>45812</v>
      </c>
      <c r="U34" s="332" t="s">
        <v>199</v>
      </c>
      <c r="V34" s="333">
        <v>16</v>
      </c>
      <c r="W34" s="334">
        <v>47.5</v>
      </c>
      <c r="X34" s="335">
        <f>IF(Planejamento2025[[#This Row],[Fonte Pagadora]]="Anna de Moura",(W34*H34*24),"R$ 0,00")</f>
        <v>1520</v>
      </c>
      <c r="Y34" s="335"/>
      <c r="Z34" s="335">
        <f>INDEX(Tabela1[Valor RH / Executado],MATCH(Planejamento2025[[#This Row],[ID]],Tabela1[ID],0))</f>
        <v>1282.5</v>
      </c>
      <c r="AA34" s="292">
        <f>INDEX(Tabela1[Valor Insumo / Executado],MATCH(Planejamento2025[[#This Row],[ID]],Tabela1[ID],0))</f>
        <v>0</v>
      </c>
      <c r="AB3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4" s="332" t="s">
        <v>5</v>
      </c>
      <c r="AD34" s="332" t="s">
        <v>15</v>
      </c>
      <c r="AE3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34" s="419"/>
      <c r="AG34" s="336"/>
    </row>
    <row r="35" spans="1:33" s="303" customFormat="1" ht="30" customHeight="1" x14ac:dyDescent="0.25">
      <c r="A3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_T2</v>
      </c>
      <c r="B35" s="207" t="s">
        <v>86</v>
      </c>
      <c r="C35" s="202" t="s">
        <v>138</v>
      </c>
      <c r="D35" s="202" t="s">
        <v>228</v>
      </c>
      <c r="E35" s="207" t="s">
        <v>76</v>
      </c>
      <c r="F35" s="207" t="s">
        <v>397</v>
      </c>
      <c r="G35" s="207" t="s">
        <v>246</v>
      </c>
      <c r="H35" s="203">
        <v>1</v>
      </c>
      <c r="I35" s="203"/>
      <c r="J35" s="203" t="s">
        <v>100</v>
      </c>
      <c r="K35" s="203"/>
      <c r="L35" s="203" t="s">
        <v>100</v>
      </c>
      <c r="M35" s="203"/>
      <c r="N35" s="218" t="str">
        <f t="shared" si="1"/>
        <v>1010111</v>
      </c>
      <c r="O35" s="203">
        <v>0.79166666666666663</v>
      </c>
      <c r="P35" s="203">
        <v>0.91666666666666663</v>
      </c>
      <c r="Q35" s="203">
        <f>Planejamento2025[[#This Row],[Saída]]-Planejamento2025[[#This Row],[Entrada]]</f>
        <v>0.125</v>
      </c>
      <c r="R35" s="331">
        <f>Planejamento2025[[#This Row],[Carga Horária]]/Q35</f>
        <v>8</v>
      </c>
      <c r="S35" s="204">
        <v>45790</v>
      </c>
      <c r="T35" s="204">
        <v>45813</v>
      </c>
      <c r="U35" s="332" t="s">
        <v>199</v>
      </c>
      <c r="V35" s="333">
        <v>20</v>
      </c>
      <c r="W35" s="334" t="s">
        <v>241</v>
      </c>
      <c r="X35" s="335" t="str">
        <f>IF(Planejamento2025[[#This Row],[Fonte Pagadora]]="Anna de Moura",(W35*H35*24),"R$ 0,00")</f>
        <v>R$ 0,00</v>
      </c>
      <c r="Y35" s="335"/>
      <c r="Z35" s="335">
        <f>INDEX(Tabela1[Valor RH / Executado],MATCH(Planejamento2025[[#This Row],[ID]],Tabela1[ID],0))</f>
        <v>0</v>
      </c>
      <c r="AA35" s="292">
        <f>INDEX(Tabela1[Valor Insumo / Executado],MATCH(Planejamento2025[[#This Row],[ID]],Tabela1[ID],0))</f>
        <v>0</v>
      </c>
      <c r="AB3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5" s="332" t="s">
        <v>15</v>
      </c>
      <c r="AD35" s="332" t="s">
        <v>15</v>
      </c>
      <c r="AE3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5" s="419"/>
      <c r="AG35" s="347"/>
    </row>
    <row r="36" spans="1:33" s="303" customFormat="1" ht="30" customHeight="1" x14ac:dyDescent="0.25">
      <c r="A3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Piz _T1</v>
      </c>
      <c r="B36" s="207" t="s">
        <v>266</v>
      </c>
      <c r="C36" s="202" t="s">
        <v>137</v>
      </c>
      <c r="D36" s="202" t="s">
        <v>228</v>
      </c>
      <c r="E36" s="207" t="s">
        <v>213</v>
      </c>
      <c r="F36" s="207" t="s">
        <v>401</v>
      </c>
      <c r="G36" s="207" t="s">
        <v>186</v>
      </c>
      <c r="H36" s="203">
        <v>0.625</v>
      </c>
      <c r="I36" s="203"/>
      <c r="J36" s="203" t="s">
        <v>100</v>
      </c>
      <c r="K36" s="203" t="s">
        <v>100</v>
      </c>
      <c r="L36" s="203"/>
      <c r="M36" s="203"/>
      <c r="N36" s="212" t="str">
        <f t="shared" si="1"/>
        <v>1001111</v>
      </c>
      <c r="O36" s="203">
        <v>0.79166666666666663</v>
      </c>
      <c r="P36" s="203">
        <v>0.91666666666666663</v>
      </c>
      <c r="Q36" s="203">
        <f>Planejamento2025[[#This Row],[Saída]]-Planejamento2025[[#This Row],[Entrada]]</f>
        <v>0.125</v>
      </c>
      <c r="R36" s="331">
        <f>Planejamento2025[[#This Row],[Carga Horária]]/Q36</f>
        <v>5</v>
      </c>
      <c r="S36" s="204">
        <v>45790</v>
      </c>
      <c r="T36" s="204">
        <v>45804</v>
      </c>
      <c r="U36" s="332" t="s">
        <v>198</v>
      </c>
      <c r="V36" s="333">
        <v>16</v>
      </c>
      <c r="W36" s="334">
        <v>47.5</v>
      </c>
      <c r="X36" s="335">
        <f>IF(Planejamento2025[[#This Row],[Fonte Pagadora]]="Anna de Moura",(W36*H36*24),"R$ 0,00")</f>
        <v>712.5</v>
      </c>
      <c r="Y36" s="335">
        <f>15*30</f>
        <v>450</v>
      </c>
      <c r="Z36" s="335">
        <f>INDEX(Tabela1[Valor RH / Executado],MATCH(Planejamento2025[[#This Row],[ID]],Tabela1[ID],0))</f>
        <v>712.5</v>
      </c>
      <c r="AA36" s="292">
        <f>INDEX(Tabela1[Valor Insumo / Executado],MATCH(Planejamento2025[[#This Row],[ID]],Tabela1[ID],0))</f>
        <v>540.92000000000007</v>
      </c>
      <c r="AB3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6" s="332" t="s">
        <v>5</v>
      </c>
      <c r="AD36" s="332" t="s">
        <v>5</v>
      </c>
      <c r="AE3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36" s="419"/>
      <c r="AG36" s="347"/>
    </row>
    <row r="37" spans="1:33" s="303" customFormat="1" ht="30" customHeight="1" x14ac:dyDescent="0.25">
      <c r="A3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DesSob_T1</v>
      </c>
      <c r="B37" s="207" t="s">
        <v>148</v>
      </c>
      <c r="C37" s="202" t="s">
        <v>137</v>
      </c>
      <c r="D37" s="202" t="s">
        <v>230</v>
      </c>
      <c r="E37" s="207" t="s">
        <v>179</v>
      </c>
      <c r="F37" s="207" t="s">
        <v>401</v>
      </c>
      <c r="G37" s="207" t="s">
        <v>191</v>
      </c>
      <c r="H37" s="203">
        <v>0.83333333333333337</v>
      </c>
      <c r="I37" s="203"/>
      <c r="J37" s="203" t="s">
        <v>100</v>
      </c>
      <c r="K37" s="203"/>
      <c r="L37" s="203"/>
      <c r="M37" s="203"/>
      <c r="N37" s="212" t="str">
        <f t="shared" si="1"/>
        <v>1011111</v>
      </c>
      <c r="O37" s="203">
        <v>0.58333333333333337</v>
      </c>
      <c r="P37" s="203">
        <v>0.70833333333333337</v>
      </c>
      <c r="Q37" s="203">
        <f>Planejamento2025[[#This Row],[Saída]]-Planejamento2025[[#This Row],[Entrada]]</f>
        <v>0.125</v>
      </c>
      <c r="R37" s="331">
        <f>Planejamento2025[[#This Row],[Carga Horária]]/Q37</f>
        <v>6.666666666666667</v>
      </c>
      <c r="S37" s="204">
        <v>45790</v>
      </c>
      <c r="T37" s="204">
        <f>WORKDAY.INTL(S37,R37,Planejamento2025[[#This Row],[Padrão]],Calendário!$R$4:$R$35)</f>
        <v>45832</v>
      </c>
      <c r="U37" s="332" t="s">
        <v>198</v>
      </c>
      <c r="V37" s="333">
        <v>20</v>
      </c>
      <c r="W37" s="334">
        <v>47.5</v>
      </c>
      <c r="X37" s="335">
        <f>IF(Planejamento2025[[#This Row],[Fonte Pagadora]]="Anna de Moura",(W37*H37*24),"R$ 0,00")</f>
        <v>950</v>
      </c>
      <c r="Y37" s="335">
        <f>20*30</f>
        <v>600</v>
      </c>
      <c r="Z37" s="335">
        <f>INDEX(Tabela1[Valor RH / Executado],MATCH(Planejamento2025[[#This Row],[ID]],Tabela1[ID],0))</f>
        <v>997.5</v>
      </c>
      <c r="AA37" s="292">
        <f>INDEX(Tabela1[Valor Insumo / Executado],MATCH(Planejamento2025[[#This Row],[ID]],Tabela1[ID],0))</f>
        <v>0</v>
      </c>
      <c r="AB3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7" s="332" t="s">
        <v>5</v>
      </c>
      <c r="AD37" s="332" t="s">
        <v>5</v>
      </c>
      <c r="AE3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37" s="419"/>
      <c r="AG37" s="347"/>
    </row>
    <row r="38" spans="1:33" s="410" customFormat="1" ht="30" customHeight="1" x14ac:dyDescent="0.25">
      <c r="A38" s="401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ComElé_T1</v>
      </c>
      <c r="B38" s="401" t="s">
        <v>89</v>
      </c>
      <c r="C38" s="402" t="s">
        <v>137</v>
      </c>
      <c r="D38" s="402" t="s">
        <v>230</v>
      </c>
      <c r="E38" s="401" t="s">
        <v>90</v>
      </c>
      <c r="F38" s="401" t="s">
        <v>397</v>
      </c>
      <c r="G38" s="401" t="s">
        <v>265</v>
      </c>
      <c r="H38" s="134">
        <v>5</v>
      </c>
      <c r="I38" s="134" t="s">
        <v>100</v>
      </c>
      <c r="J38" s="134"/>
      <c r="K38" s="134"/>
      <c r="L38" s="134" t="s">
        <v>100</v>
      </c>
      <c r="M38" s="134"/>
      <c r="N38" s="134" t="str">
        <f t="shared" si="1"/>
        <v>0110111</v>
      </c>
      <c r="O38" s="134">
        <v>0.58333333333333337</v>
      </c>
      <c r="P38" s="134">
        <v>0.70833333333333337</v>
      </c>
      <c r="Q38" s="134">
        <f>Planejamento2025[[#This Row],[Saída]]-Planejamento2025[[#This Row],[Entrada]]</f>
        <v>0.125</v>
      </c>
      <c r="R38" s="403">
        <f>Planejamento2025[[#This Row],[Carga Horária]]/Q38</f>
        <v>40</v>
      </c>
      <c r="S38" s="404">
        <v>45796</v>
      </c>
      <c r="T38" s="404">
        <v>45960</v>
      </c>
      <c r="U38" s="405" t="s">
        <v>198</v>
      </c>
      <c r="V38" s="406">
        <v>16</v>
      </c>
      <c r="W38" s="412">
        <v>0</v>
      </c>
      <c r="X38" s="407" t="str">
        <f>IF(Planejamento2025[[#This Row],[Fonte Pagadora]]="Anna de Moura",(W38*H38*24),"R$ 0,00")</f>
        <v>R$ 0,00</v>
      </c>
      <c r="Y38" s="407"/>
      <c r="Z38" s="407">
        <f>INDEX(Tabela1[Valor RH / Executado],MATCH(Planejamento2025[[#This Row],[ID]],Tabela1[ID],0))</f>
        <v>0</v>
      </c>
      <c r="AA38" s="408">
        <f>INDEX(Tabela1[Valor Insumo / Executado],MATCH(Planejamento2025[[#This Row],[ID]],Tabela1[ID],0))</f>
        <v>0</v>
      </c>
      <c r="AB38" s="413" t="s">
        <v>430</v>
      </c>
      <c r="AC38" s="405" t="s">
        <v>15</v>
      </c>
      <c r="AD38" s="405" t="s">
        <v>15</v>
      </c>
      <c r="AE38" s="418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8" s="420"/>
      <c r="AG38" s="409"/>
    </row>
    <row r="39" spans="1:33" s="388" customFormat="1" ht="30" customHeight="1" x14ac:dyDescent="0.25">
      <c r="A3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FerQua_T1</v>
      </c>
      <c r="B39" s="207" t="s">
        <v>274</v>
      </c>
      <c r="C39" s="202" t="s">
        <v>137</v>
      </c>
      <c r="D39" s="202" t="s">
        <v>230</v>
      </c>
      <c r="E39" s="207"/>
      <c r="F39" s="207" t="s">
        <v>397</v>
      </c>
      <c r="G39" s="207" t="s">
        <v>273</v>
      </c>
      <c r="H39" s="203">
        <v>1.5</v>
      </c>
      <c r="I39" s="203"/>
      <c r="J39" s="203" t="s">
        <v>100</v>
      </c>
      <c r="K39" s="203" t="s">
        <v>100</v>
      </c>
      <c r="L39" s="203"/>
      <c r="M39" s="203"/>
      <c r="N39" s="43" t="str">
        <f t="shared" si="1"/>
        <v>1001111</v>
      </c>
      <c r="O39" s="203">
        <v>0.5625</v>
      </c>
      <c r="P39" s="203">
        <v>0.6875</v>
      </c>
      <c r="Q39" s="203">
        <f>Planejamento2025[[#This Row],[Saída]]-Planejamento2025[[#This Row],[Entrada]]</f>
        <v>0.125</v>
      </c>
      <c r="R39" s="331">
        <f>Planejamento2025[[#This Row],[Carga Horária]]/Q39</f>
        <v>12</v>
      </c>
      <c r="S39" s="204">
        <v>45797</v>
      </c>
      <c r="T39" s="204">
        <v>45833</v>
      </c>
      <c r="U39" s="332" t="s">
        <v>199</v>
      </c>
      <c r="V39" s="333">
        <v>16</v>
      </c>
      <c r="W39" s="334">
        <v>0</v>
      </c>
      <c r="X39" s="335" t="str">
        <f>IF(Planejamento2025[[#This Row],[Fonte Pagadora]]="Anna de Moura",(W39*H39*24),"R$ 0,00")</f>
        <v>R$ 0,00</v>
      </c>
      <c r="Y39" s="335"/>
      <c r="Z39" s="335">
        <f>INDEX(Tabela1[Valor RH / Executado],MATCH(Planejamento2025[[#This Row],[ID]],Tabela1[ID],0))</f>
        <v>0</v>
      </c>
      <c r="AA39" s="292">
        <f>INDEX(Tabela1[Valor Insumo / Executado],MATCH(Planejamento2025[[#This Row],[ID]],Tabela1[ID],0))</f>
        <v>0</v>
      </c>
      <c r="AB3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9" s="332" t="s">
        <v>15</v>
      </c>
      <c r="AD39" s="332" t="s">
        <v>15</v>
      </c>
      <c r="AE3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9" s="419"/>
      <c r="AG39" s="347"/>
    </row>
    <row r="40" spans="1:33" s="303" customFormat="1" ht="30" customHeight="1" x14ac:dyDescent="0.25">
      <c r="A4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MasFre_T1</v>
      </c>
      <c r="B40" s="207" t="s">
        <v>217</v>
      </c>
      <c r="C40" s="202" t="s">
        <v>137</v>
      </c>
      <c r="D40" s="202" t="s">
        <v>228</v>
      </c>
      <c r="E40" s="207" t="s">
        <v>213</v>
      </c>
      <c r="F40" s="207" t="s">
        <v>401</v>
      </c>
      <c r="G40" s="207" t="s">
        <v>186</v>
      </c>
      <c r="H40" s="203">
        <v>0.625</v>
      </c>
      <c r="I40" s="203"/>
      <c r="J40" s="203" t="s">
        <v>100</v>
      </c>
      <c r="K40" s="203" t="s">
        <v>100</v>
      </c>
      <c r="L40" s="203"/>
      <c r="M40" s="203"/>
      <c r="N40" s="43" t="str">
        <f t="shared" si="1"/>
        <v>1001111</v>
      </c>
      <c r="O40" s="203">
        <v>0.79166666666666663</v>
      </c>
      <c r="P40" s="203">
        <v>0.91666666666666663</v>
      </c>
      <c r="Q40" s="203">
        <f>Planejamento2025[[#This Row],[Saída]]-Planejamento2025[[#This Row],[Entrada]]</f>
        <v>0.125</v>
      </c>
      <c r="R40" s="331">
        <f>Planejamento2025[[#This Row],[Carga Horária]]/Q40</f>
        <v>5</v>
      </c>
      <c r="S40" s="204">
        <v>45811</v>
      </c>
      <c r="T40" s="204">
        <v>45825</v>
      </c>
      <c r="U40" s="332" t="s">
        <v>198</v>
      </c>
      <c r="V40" s="333">
        <v>16</v>
      </c>
      <c r="W40" s="334">
        <v>47.5</v>
      </c>
      <c r="X40" s="335">
        <f>IF(Planejamento2025[[#This Row],[Fonte Pagadora]]="Anna de Moura",(W40*H40*24),"R$ 0,00")</f>
        <v>712.5</v>
      </c>
      <c r="Y40" s="335"/>
      <c r="Z40" s="335">
        <f>INDEX(Tabela1[Valor RH / Executado],MATCH(Planejamento2025[[#This Row],[ID]],Tabela1[ID],0))</f>
        <v>712.5</v>
      </c>
      <c r="AA40" s="292">
        <f>INDEX(Tabela1[Valor Insumo / Executado],MATCH(Planejamento2025[[#This Row],[ID]],Tabela1[ID],0))</f>
        <v>0</v>
      </c>
      <c r="AB4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40" s="332" t="s">
        <v>5</v>
      </c>
      <c r="AD40" s="332" t="s">
        <v>5</v>
      </c>
      <c r="AE4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0" s="419"/>
      <c r="AG40" s="347"/>
    </row>
    <row r="41" spans="1:33" s="326" customFormat="1" ht="30" customHeight="1" x14ac:dyDescent="0.25">
      <c r="A41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Opede _T1</v>
      </c>
      <c r="B41" s="337" t="s">
        <v>373</v>
      </c>
      <c r="C41" s="47" t="s">
        <v>137</v>
      </c>
      <c r="D41" s="47" t="s">
        <v>230</v>
      </c>
      <c r="E41" s="337" t="s">
        <v>365</v>
      </c>
      <c r="F41" s="337" t="s">
        <v>399</v>
      </c>
      <c r="G41" s="337" t="s">
        <v>251</v>
      </c>
      <c r="H41" s="43">
        <v>6.666666666666667</v>
      </c>
      <c r="I41" s="43"/>
      <c r="J41" s="43" t="s">
        <v>100</v>
      </c>
      <c r="K41" s="43"/>
      <c r="L41" s="43" t="s">
        <v>100</v>
      </c>
      <c r="M41" s="43"/>
      <c r="N41" s="43" t="str">
        <f t="shared" si="1"/>
        <v>1010111</v>
      </c>
      <c r="O41" s="43">
        <v>0.54166666666666663</v>
      </c>
      <c r="P41" s="43">
        <v>0.70833333333333337</v>
      </c>
      <c r="Q41" s="43">
        <f>Planejamento2025[[#This Row],[Saída]]-Planejamento2025[[#This Row],[Entrada]]</f>
        <v>0.16666666666666674</v>
      </c>
      <c r="R41" s="130">
        <f>Planejamento2025[[#This Row],[Carga Horária]]/Q41</f>
        <v>39.999999999999986</v>
      </c>
      <c r="S41" s="44">
        <v>45825</v>
      </c>
      <c r="T41" s="44">
        <v>45979</v>
      </c>
      <c r="U41" s="338" t="s">
        <v>199</v>
      </c>
      <c r="V41" s="339">
        <v>16</v>
      </c>
      <c r="W41" s="348" t="s">
        <v>241</v>
      </c>
      <c r="X41" s="341" t="str">
        <f>IF(Planejamento2025[[#This Row],[Fonte Pagadora]]="Anna de Moura",(W41*H41*24),"R$ 0,00")</f>
        <v>R$ 0,00</v>
      </c>
      <c r="Y41" s="349"/>
      <c r="Z41" s="335">
        <f>INDEX(Tabela1[Valor RH / Executado],MATCH(Planejamento2025[[#This Row],[ID]],Tabela1[ID],0))</f>
        <v>0</v>
      </c>
      <c r="AA41" s="184">
        <f>INDEX(Tabela1[Valor Insumo / Executado],MATCH(Planejamento2025[[#This Row],[ID]],Tabela1[ID],0))</f>
        <v>0</v>
      </c>
      <c r="AB41" s="306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1" s="338" t="s">
        <v>15</v>
      </c>
      <c r="AD41" s="338" t="s">
        <v>15</v>
      </c>
      <c r="AE4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1" s="419" t="s">
        <v>419</v>
      </c>
      <c r="AG41" s="347"/>
    </row>
    <row r="42" spans="1:33" s="326" customFormat="1" ht="30" customHeight="1" x14ac:dyDescent="0.25">
      <c r="A4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PlaCon_T2</v>
      </c>
      <c r="B42" s="337" t="s">
        <v>254</v>
      </c>
      <c r="C42" s="47" t="s">
        <v>138</v>
      </c>
      <c r="D42" s="47" t="s">
        <v>230</v>
      </c>
      <c r="E42" s="337" t="s">
        <v>365</v>
      </c>
      <c r="F42" s="337" t="s">
        <v>397</v>
      </c>
      <c r="G42" s="337" t="s">
        <v>432</v>
      </c>
      <c r="H42" s="43">
        <v>1.6666666666666667</v>
      </c>
      <c r="I42" s="43"/>
      <c r="J42" s="43" t="s">
        <v>100</v>
      </c>
      <c r="K42" s="43"/>
      <c r="L42" s="43" t="s">
        <v>100</v>
      </c>
      <c r="M42" s="43"/>
      <c r="N42" s="43" t="str">
        <f t="shared" si="1"/>
        <v>1010111</v>
      </c>
      <c r="O42" s="43">
        <v>0.58333333333333337</v>
      </c>
      <c r="P42" s="43">
        <v>0.70833333333333337</v>
      </c>
      <c r="Q42" s="43">
        <f>Planejamento2025[[#This Row],[Saída]]-Planejamento2025[[#This Row],[Entrada]]</f>
        <v>0.125</v>
      </c>
      <c r="R42" s="130">
        <f>Planejamento2025[[#This Row],[Carga Horária]]/Q42</f>
        <v>13.333333333333334</v>
      </c>
      <c r="S42" s="44">
        <v>45855</v>
      </c>
      <c r="T42" s="44">
        <v>45902</v>
      </c>
      <c r="U42" s="338" t="s">
        <v>199</v>
      </c>
      <c r="V42" s="339">
        <v>16</v>
      </c>
      <c r="W42" s="340">
        <v>0</v>
      </c>
      <c r="X42" s="341" t="str">
        <f>IF(Planejamento2025[[#This Row],[Fonte Pagadora]]="Anna de Moura",(W42*H42*24),"R$ 0,00")</f>
        <v>R$ 0,00</v>
      </c>
      <c r="Y42" s="341"/>
      <c r="Z42" s="335">
        <f>INDEX(Tabela1[Valor RH / Executado],MATCH(Planejamento2025[[#This Row],[ID]],Tabela1[ID],0))</f>
        <v>0</v>
      </c>
      <c r="AA42" s="184">
        <f>INDEX(Tabela1[Valor Insumo / Executado],MATCH(Planejamento2025[[#This Row],[ID]],Tabela1[ID],0))</f>
        <v>0</v>
      </c>
      <c r="AB42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2" s="338" t="s">
        <v>15</v>
      </c>
      <c r="AD42" s="338" t="s">
        <v>15</v>
      </c>
      <c r="AE4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2" s="419" t="s">
        <v>416</v>
      </c>
      <c r="AG42" s="347"/>
    </row>
    <row r="43" spans="1:33" s="410" customFormat="1" ht="30" customHeight="1" x14ac:dyDescent="0.25">
      <c r="A43" s="337" t="s">
        <v>302</v>
      </c>
      <c r="B43" s="337" t="s">
        <v>231</v>
      </c>
      <c r="C43" s="47" t="s">
        <v>137</v>
      </c>
      <c r="D43" s="47" t="s">
        <v>228</v>
      </c>
      <c r="E43" s="337"/>
      <c r="F43" s="337"/>
      <c r="G43" s="337" t="s">
        <v>209</v>
      </c>
      <c r="H43" s="43">
        <v>2.1666666666666665</v>
      </c>
      <c r="I43" s="43"/>
      <c r="J43" s="43" t="s">
        <v>100</v>
      </c>
      <c r="K43" s="43"/>
      <c r="L43" s="43"/>
      <c r="M43" s="43"/>
      <c r="N43" s="230" t="str">
        <f t="shared" si="1"/>
        <v>1011111</v>
      </c>
      <c r="O43" s="43">
        <v>0.79166666666666663</v>
      </c>
      <c r="P43" s="43">
        <v>0.89583333333333337</v>
      </c>
      <c r="Q43" s="43">
        <f>Planejamento2025[[#This Row],[Saída]]-Planejamento2025[[#This Row],[Entrada]]</f>
        <v>0.10416666666666674</v>
      </c>
      <c r="R43" s="130">
        <f>Planejamento2025[[#This Row],[Carga Horária]]/Q43</f>
        <v>20.799999999999983</v>
      </c>
      <c r="S43" s="44">
        <v>45860</v>
      </c>
      <c r="T43" s="44">
        <f>WORKDAY.INTL(S43,R43,Planejamento2025[[#This Row],[Padrão]],Calendário!$R$4:$R$35)</f>
        <v>46000</v>
      </c>
      <c r="U43" s="338" t="s">
        <v>232</v>
      </c>
      <c r="V43" s="339"/>
      <c r="W43" s="348"/>
      <c r="X43" s="341">
        <v>12896.25</v>
      </c>
      <c r="Y43" s="349"/>
      <c r="Z43" s="414"/>
      <c r="AA43" s="184">
        <f>INDEX(Tabela1[Valor Insumo / Executado],MATCH(Planejamento2025[[#This Row],[ID]],Tabela1[ID],0))</f>
        <v>0</v>
      </c>
      <c r="AB4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3" s="338" t="s">
        <v>5</v>
      </c>
      <c r="AD43" s="338" t="s">
        <v>5</v>
      </c>
      <c r="AE4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3" s="419" t="s">
        <v>429</v>
      </c>
      <c r="AG43" s="336"/>
    </row>
    <row r="44" spans="1:33" s="231" customFormat="1" ht="30" customHeight="1" x14ac:dyDescent="0.25">
      <c r="A44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ExcAva_T1</v>
      </c>
      <c r="B44" s="337" t="s">
        <v>366</v>
      </c>
      <c r="C44" s="47" t="s">
        <v>137</v>
      </c>
      <c r="D44" s="47" t="s">
        <v>228</v>
      </c>
      <c r="E44" s="337" t="s">
        <v>74</v>
      </c>
      <c r="F44" s="337" t="s">
        <v>397</v>
      </c>
      <c r="G44" s="337" t="s">
        <v>356</v>
      </c>
      <c r="H44" s="43">
        <v>1.6666666666666667</v>
      </c>
      <c r="I44" s="43"/>
      <c r="J44" s="43" t="s">
        <v>100</v>
      </c>
      <c r="K44" s="43"/>
      <c r="L44" s="43" t="s">
        <v>100</v>
      </c>
      <c r="M44" s="43"/>
      <c r="N44" s="43" t="str">
        <f t="shared" si="1"/>
        <v>1010111</v>
      </c>
      <c r="O44" s="43">
        <v>0.79166666666666663</v>
      </c>
      <c r="P44" s="43">
        <v>0.91666666666666663</v>
      </c>
      <c r="Q44" s="43">
        <f>Planejamento2025[[#This Row],[Saída]]-Planejamento2025[[#This Row],[Entrada]]</f>
        <v>0.125</v>
      </c>
      <c r="R44" s="130">
        <f>Planejamento2025[[#This Row],[Carga Horária]]/Q44</f>
        <v>13.333333333333334</v>
      </c>
      <c r="S44" s="44">
        <v>45860</v>
      </c>
      <c r="T44" s="44">
        <v>45902</v>
      </c>
      <c r="U44" s="338" t="s">
        <v>199</v>
      </c>
      <c r="V44" s="339">
        <v>16</v>
      </c>
      <c r="W44" s="340"/>
      <c r="X44" s="341" t="str">
        <f>IF(Planejamento2025[[#This Row],[Fonte Pagadora]]="Anna de Moura",(W44*H44*24),"R$ 0,00")</f>
        <v>R$ 0,00</v>
      </c>
      <c r="Y44" s="341"/>
      <c r="Z44" s="335">
        <f>INDEX(Tabela1[Valor RH / Executado],MATCH(Planejamento2025[[#This Row],[ID]],Tabela1[ID],0))</f>
        <v>0</v>
      </c>
      <c r="AA44" s="184">
        <f>INDEX(Tabela1[Valor Insumo / Executado],MATCH(Planejamento2025[[#This Row],[ID]],Tabela1[ID],0))</f>
        <v>0</v>
      </c>
      <c r="AB44" s="350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4" s="338" t="s">
        <v>15</v>
      </c>
      <c r="AD44" s="338" t="s">
        <v>15</v>
      </c>
      <c r="AE4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4" s="419" t="s">
        <v>420</v>
      </c>
      <c r="AG44" s="347" t="s">
        <v>357</v>
      </c>
    </row>
    <row r="45" spans="1:33" s="329" customFormat="1" ht="30" customHeight="1" x14ac:dyDescent="0.25">
      <c r="A4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InfBás_T3</v>
      </c>
      <c r="B45" s="337" t="s">
        <v>79</v>
      </c>
      <c r="C45" s="47" t="s">
        <v>252</v>
      </c>
      <c r="D45" s="47" t="s">
        <v>228</v>
      </c>
      <c r="E45" s="337" t="s">
        <v>74</v>
      </c>
      <c r="F45" s="337" t="s">
        <v>401</v>
      </c>
      <c r="G45" s="337" t="s">
        <v>188</v>
      </c>
      <c r="H45" s="43">
        <v>2.5</v>
      </c>
      <c r="I45" s="43"/>
      <c r="J45" s="43"/>
      <c r="K45" s="43" t="s">
        <v>100</v>
      </c>
      <c r="L45" s="43"/>
      <c r="M45" s="43"/>
      <c r="N45" s="43" t="str">
        <f t="shared" si="1"/>
        <v>1101111</v>
      </c>
      <c r="O45" s="43">
        <v>0.79166666666666663</v>
      </c>
      <c r="P45" s="43">
        <v>0.91666666666666663</v>
      </c>
      <c r="Q45" s="43">
        <f>Planejamento2025[[#This Row],[Saída]]-Planejamento2025[[#This Row],[Entrada]]</f>
        <v>0.125</v>
      </c>
      <c r="R45" s="130">
        <f>Planejamento2025[[#This Row],[Carga Horária]]/Q45</f>
        <v>20</v>
      </c>
      <c r="S45" s="44">
        <v>45861</v>
      </c>
      <c r="T45" s="44">
        <v>46001</v>
      </c>
      <c r="U45" s="338" t="s">
        <v>198</v>
      </c>
      <c r="V45" s="339">
        <v>16</v>
      </c>
      <c r="W45" s="340">
        <v>47.5</v>
      </c>
      <c r="X45" s="341">
        <f>IF(Planejamento2025[[#This Row],[Fonte Pagadora]]="Anna de Moura",(W45*H45*24),"R$ 0,00")</f>
        <v>2850</v>
      </c>
      <c r="Y45" s="341"/>
      <c r="Z45" s="335">
        <f>INDEX(Tabela1[Valor RH / Executado],MATCH(Planejamento2025[[#This Row],[ID]],Tabela1[ID],0))</f>
        <v>0</v>
      </c>
      <c r="AA45" s="184">
        <f>INDEX(Tabela1[Valor Insumo / Executado],MATCH(Planejamento2025[[#This Row],[ID]],Tabela1[ID],0))</f>
        <v>0</v>
      </c>
      <c r="AB45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5" s="338" t="s">
        <v>5</v>
      </c>
      <c r="AD45" s="338" t="s">
        <v>15</v>
      </c>
      <c r="AE4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45" s="419" t="s">
        <v>420</v>
      </c>
      <c r="AG45" s="336"/>
    </row>
    <row r="46" spans="1:33" ht="30" customHeight="1" x14ac:dyDescent="0.25">
      <c r="A46" s="337" t="s">
        <v>303</v>
      </c>
      <c r="B46" s="337" t="s">
        <v>145</v>
      </c>
      <c r="C46" s="47" t="s">
        <v>137</v>
      </c>
      <c r="D46" s="47" t="s">
        <v>230</v>
      </c>
      <c r="E46" s="337" t="s">
        <v>180</v>
      </c>
      <c r="F46" s="337" t="s">
        <v>401</v>
      </c>
      <c r="G46" s="337" t="s">
        <v>192</v>
      </c>
      <c r="H46" s="43">
        <v>1.6666666666666667</v>
      </c>
      <c r="I46" s="43"/>
      <c r="J46" s="43"/>
      <c r="K46" s="43"/>
      <c r="L46" s="43" t="s">
        <v>100</v>
      </c>
      <c r="M46" s="43"/>
      <c r="N46" s="230" t="str">
        <f t="shared" si="1"/>
        <v>1110111</v>
      </c>
      <c r="O46" s="43">
        <v>0.66666666666666663</v>
      </c>
      <c r="P46" s="43">
        <v>0.75</v>
      </c>
      <c r="Q46" s="43">
        <f>Planejamento2025[[#This Row],[Saída]]-Planejamento2025[[#This Row],[Entrada]]</f>
        <v>8.333333333333337E-2</v>
      </c>
      <c r="R46" s="130">
        <f>Planejamento2025[[#This Row],[Carga Horária]]/Q46</f>
        <v>19.999999999999993</v>
      </c>
      <c r="S46" s="44">
        <v>45862</v>
      </c>
      <c r="T46" s="44">
        <f>WORKDAY.INTL(S46,R46,Planejamento2025[[#This Row],[Padrão]],Calendário!$R$4:$R$35)</f>
        <v>46002</v>
      </c>
      <c r="U46" s="338" t="s">
        <v>151</v>
      </c>
      <c r="V46" s="339"/>
      <c r="W46" s="348">
        <v>47.5</v>
      </c>
      <c r="X46" s="341">
        <f>IF(Planejamento2025[[#This Row],[Fonte Pagadora]]="Anna de Moura",(W46*H46*24),"R$ 0,00")</f>
        <v>1900</v>
      </c>
      <c r="Y46" s="349">
        <v>0</v>
      </c>
      <c r="Z46" s="335"/>
      <c r="AA46" s="184">
        <f>INDEX(Tabela1[Valor Insumo / Executado],MATCH(Planejamento2025[[#This Row],[ID]],Tabela1[ID],0))</f>
        <v>0</v>
      </c>
      <c r="AB46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6" s="338" t="s">
        <v>5</v>
      </c>
      <c r="AD46" s="338" t="s">
        <v>5</v>
      </c>
      <c r="AE4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6" s="419" t="s">
        <v>429</v>
      </c>
      <c r="AG46" s="336"/>
    </row>
    <row r="47" spans="1:33" ht="30" customHeight="1" x14ac:dyDescent="0.25">
      <c r="A47" s="337" t="s">
        <v>304</v>
      </c>
      <c r="B47" s="337" t="s">
        <v>145</v>
      </c>
      <c r="C47" s="47" t="s">
        <v>138</v>
      </c>
      <c r="D47" s="47" t="s">
        <v>228</v>
      </c>
      <c r="E47" s="337" t="s">
        <v>180</v>
      </c>
      <c r="F47" s="337" t="s">
        <v>401</v>
      </c>
      <c r="G47" s="337" t="s">
        <v>192</v>
      </c>
      <c r="H47" s="43">
        <v>1.6666666666666667</v>
      </c>
      <c r="I47" s="43"/>
      <c r="J47" s="43"/>
      <c r="K47" s="43"/>
      <c r="L47" s="43" t="s">
        <v>100</v>
      </c>
      <c r="M47" s="43"/>
      <c r="N47" s="230" t="str">
        <f t="shared" si="1"/>
        <v>1110111</v>
      </c>
      <c r="O47" s="43">
        <v>0.79166666666666663</v>
      </c>
      <c r="P47" s="43">
        <v>0.875</v>
      </c>
      <c r="Q47" s="43">
        <f>Planejamento2025[[#This Row],[Saída]]-Planejamento2025[[#This Row],[Entrada]]</f>
        <v>8.333333333333337E-2</v>
      </c>
      <c r="R47" s="130">
        <f>Planejamento2025[[#This Row],[Carga Horária]]/Q47</f>
        <v>19.999999999999993</v>
      </c>
      <c r="S47" s="44">
        <v>45862</v>
      </c>
      <c r="T47" s="44">
        <f>WORKDAY.INTL(S47,R47,Planejamento2025[[#This Row],[Padrão]],Calendário!$R$4:$R$35)</f>
        <v>46002</v>
      </c>
      <c r="U47" s="338" t="s">
        <v>150</v>
      </c>
      <c r="V47" s="339"/>
      <c r="W47" s="340">
        <v>47.5</v>
      </c>
      <c r="X47" s="341">
        <f>IF(Planejamento2025[[#This Row],[Fonte Pagadora]]="Anna de Moura",(W47*H47*24),"R$ 0,00")</f>
        <v>1900</v>
      </c>
      <c r="Y47" s="341">
        <v>0</v>
      </c>
      <c r="Z47" s="335"/>
      <c r="AA47" s="184">
        <f>INDEX(Tabela1[Valor Insumo / Executado],MATCH(Planejamento2025[[#This Row],[ID]],Tabela1[ID],0))</f>
        <v>0</v>
      </c>
      <c r="AB4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7" s="338" t="s">
        <v>5</v>
      </c>
      <c r="AD47" s="338" t="s">
        <v>5</v>
      </c>
      <c r="AE4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7" s="419" t="s">
        <v>429</v>
      </c>
      <c r="AG47" s="336"/>
    </row>
    <row r="48" spans="1:33" s="211" customFormat="1" ht="30" customHeight="1" x14ac:dyDescent="0.25">
      <c r="A48" s="401" t="s">
        <v>414</v>
      </c>
      <c r="B48" s="401" t="s">
        <v>413</v>
      </c>
      <c r="C48" s="402" t="s">
        <v>137</v>
      </c>
      <c r="D48" s="402" t="s">
        <v>230</v>
      </c>
      <c r="E48" s="401" t="s">
        <v>412</v>
      </c>
      <c r="F48" s="401" t="s">
        <v>397</v>
      </c>
      <c r="G48" s="401"/>
      <c r="H48" s="134">
        <v>2.5</v>
      </c>
      <c r="I48" s="134" t="s">
        <v>100</v>
      </c>
      <c r="J48" s="134" t="s">
        <v>100</v>
      </c>
      <c r="K48" s="134" t="s">
        <v>100</v>
      </c>
      <c r="L48" s="134" t="s">
        <v>100</v>
      </c>
      <c r="M48" s="134" t="s">
        <v>100</v>
      </c>
      <c r="N48" s="134" t="str">
        <f t="shared" si="1"/>
        <v>0000011</v>
      </c>
      <c r="O48" s="134">
        <v>0.54166666666666663</v>
      </c>
      <c r="P48" s="134">
        <v>0.70833333333333337</v>
      </c>
      <c r="Q48" s="134">
        <f>Planejamento2025[[#This Row],[Saída]]-Planejamento2025[[#This Row],[Entrada]]</f>
        <v>0.16666666666666674</v>
      </c>
      <c r="R48" s="403">
        <f>Planejamento2025[[#This Row],[Carga Horária]]/Q48</f>
        <v>14.999999999999993</v>
      </c>
      <c r="S48" s="404">
        <v>45866</v>
      </c>
      <c r="T48" s="404">
        <f>WORKDAY.INTL(S48,R48,Planejamento2025[[#This Row],[Padrão]],Calendário!$R$4:$R$35)</f>
        <v>45884</v>
      </c>
      <c r="U48" s="405" t="s">
        <v>198</v>
      </c>
      <c r="V48" s="406">
        <v>16</v>
      </c>
      <c r="W48" s="412">
        <v>0</v>
      </c>
      <c r="X48" s="407" t="str">
        <f>IF(Planejamento2025[[#This Row],[Fonte Pagadora]]="Anna de Moura",(W48*H48*24),"R$ 0,00")</f>
        <v>R$ 0,00</v>
      </c>
      <c r="Y48" s="407">
        <v>0</v>
      </c>
      <c r="Z48" s="407">
        <f>INDEX(Tabela1[Valor RH / Executado],MATCH(Planejamento2025[[#This Row],[ID]],Tabela1[ID],0))</f>
        <v>0</v>
      </c>
      <c r="AA48" s="408">
        <f>INDEX(Tabela1[Valor Insumo / Executado],MATCH(Planejamento2025[[#This Row],[ID]],Tabela1[ID],0))</f>
        <v>0</v>
      </c>
      <c r="AB48" s="413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8" s="405" t="s">
        <v>15</v>
      </c>
      <c r="AD48" s="405" t="s">
        <v>15</v>
      </c>
      <c r="AE48" s="418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8" s="419" t="s">
        <v>429</v>
      </c>
      <c r="AG48" s="409"/>
    </row>
    <row r="49" spans="1:33" ht="30" customHeight="1" x14ac:dyDescent="0.25">
      <c r="A49" s="337" t="s">
        <v>276</v>
      </c>
      <c r="B49" s="337" t="s">
        <v>275</v>
      </c>
      <c r="C49" s="47" t="s">
        <v>137</v>
      </c>
      <c r="D49" s="47" t="s">
        <v>229</v>
      </c>
      <c r="E49" s="337" t="s">
        <v>211</v>
      </c>
      <c r="F49" s="337" t="s">
        <v>397</v>
      </c>
      <c r="G49" s="337" t="s">
        <v>253</v>
      </c>
      <c r="H49" s="43">
        <v>3.6666666666666665</v>
      </c>
      <c r="I49" s="43" t="s">
        <v>100</v>
      </c>
      <c r="J49" s="43" t="s">
        <v>100</v>
      </c>
      <c r="K49" s="43" t="s">
        <v>100</v>
      </c>
      <c r="L49" s="43" t="s">
        <v>100</v>
      </c>
      <c r="M49" s="43" t="s">
        <v>100</v>
      </c>
      <c r="N49" s="43" t="str">
        <f t="shared" si="1"/>
        <v>0000011</v>
      </c>
      <c r="O49" s="43">
        <v>0.33333333333333331</v>
      </c>
      <c r="P49" s="43">
        <v>0.5</v>
      </c>
      <c r="Q49" s="43">
        <f>Planejamento2025[[#This Row],[Saída]]-Planejamento2025[[#This Row],[Entrada]]</f>
        <v>0.16666666666666669</v>
      </c>
      <c r="R49" s="130">
        <f>Planejamento2025[[#This Row],[Carga Horária]]/Q49</f>
        <v>21.999999999999996</v>
      </c>
      <c r="S49" s="44">
        <v>45866</v>
      </c>
      <c r="T49" s="44">
        <f>WORKDAY.INTL(S49,R49,Planejamento2025[[#This Row],[Padrão]],Calendário!$R$4:$R$35)</f>
        <v>45895</v>
      </c>
      <c r="U49" s="338" t="s">
        <v>198</v>
      </c>
      <c r="V49" s="339">
        <v>16</v>
      </c>
      <c r="W49" s="348" t="s">
        <v>241</v>
      </c>
      <c r="X49" s="341" t="str">
        <f>IF(Planejamento2025[[#This Row],[Fonte Pagadora]]="Anna de Moura",(W49*H49*24),"R$ 0,00")</f>
        <v>R$ 0,00</v>
      </c>
      <c r="Y49" s="349"/>
      <c r="Z49" s="335">
        <f>INDEX(Tabela1[Valor RH / Executado],MATCH(Planejamento2025[[#This Row],[ID]],Tabela1[ID],0))</f>
        <v>0</v>
      </c>
      <c r="AA49" s="184">
        <f>INDEX(Tabela1[Valor Insumo / Executado],MATCH(Planejamento2025[[#This Row],[ID]],Tabela1[ID],0))</f>
        <v>0</v>
      </c>
      <c r="AB49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9" s="338" t="s">
        <v>408</v>
      </c>
      <c r="AD49" s="338" t="s">
        <v>409</v>
      </c>
      <c r="AE4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SEBRAE / SENAI</v>
      </c>
      <c r="AF49" s="419" t="s">
        <v>424</v>
      </c>
      <c r="AG49" s="336"/>
    </row>
    <row r="50" spans="1:33" s="327" customFormat="1" ht="30" customHeight="1" x14ac:dyDescent="0.25">
      <c r="A50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LeiInt_T1</v>
      </c>
      <c r="B50" s="337" t="s">
        <v>257</v>
      </c>
      <c r="C50" s="47" t="s">
        <v>137</v>
      </c>
      <c r="D50" s="47" t="s">
        <v>228</v>
      </c>
      <c r="E50" s="337"/>
      <c r="F50" s="337" t="s">
        <v>397</v>
      </c>
      <c r="G50" s="337" t="s">
        <v>258</v>
      </c>
      <c r="H50" s="43">
        <v>2.5</v>
      </c>
      <c r="I50" s="43"/>
      <c r="J50" s="43" t="s">
        <v>100</v>
      </c>
      <c r="K50" s="43" t="s">
        <v>100</v>
      </c>
      <c r="L50" s="43" t="s">
        <v>100</v>
      </c>
      <c r="M50" s="43"/>
      <c r="N50" s="43" t="str">
        <f t="shared" si="1"/>
        <v>1000111</v>
      </c>
      <c r="O50" s="43">
        <v>0.79166666666666663</v>
      </c>
      <c r="P50" s="43">
        <v>0.91666666666666663</v>
      </c>
      <c r="Q50" s="43">
        <f>Planejamento2025[[#This Row],[Saída]]-Planejamento2025[[#This Row],[Entrada]]</f>
        <v>0.125</v>
      </c>
      <c r="R50" s="130">
        <f>Planejamento2025[[#This Row],[Carga Horária]]/Q50</f>
        <v>20</v>
      </c>
      <c r="S50" s="44">
        <v>45867</v>
      </c>
      <c r="T50" s="44">
        <v>45917</v>
      </c>
      <c r="U50" s="338" t="s">
        <v>199</v>
      </c>
      <c r="V50" s="339">
        <v>16</v>
      </c>
      <c r="W50" s="348"/>
      <c r="X50" s="341" t="str">
        <f>IF(Planejamento2025[[#This Row],[Fonte Pagadora]]="Anna de Moura",(W50*H50*24),"R$ 0,00")</f>
        <v>R$ 0,00</v>
      </c>
      <c r="Y50" s="349"/>
      <c r="Z50" s="335">
        <f>INDEX(Tabela1[Valor RH / Executado],MATCH(Planejamento2025[[#This Row],[ID]],Tabela1[ID],0))</f>
        <v>0</v>
      </c>
      <c r="AA50" s="184">
        <f>INDEX(Tabela1[Valor Insumo / Executado],MATCH(Planejamento2025[[#This Row],[ID]],Tabela1[ID],0))</f>
        <v>0</v>
      </c>
      <c r="AB5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0" s="338" t="s">
        <v>15</v>
      </c>
      <c r="AD50" s="338" t="s">
        <v>15</v>
      </c>
      <c r="AE5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50" s="419" t="s">
        <v>418</v>
      </c>
      <c r="AG50" s="336"/>
    </row>
    <row r="51" spans="1:33" s="327" customFormat="1" ht="30" customHeight="1" x14ac:dyDescent="0.25">
      <c r="A51" s="337" t="s">
        <v>364</v>
      </c>
      <c r="B51" s="337" t="s">
        <v>363</v>
      </c>
      <c r="C51" s="47" t="s">
        <v>137</v>
      </c>
      <c r="D51" s="47" t="s">
        <v>230</v>
      </c>
      <c r="E51" s="337" t="s">
        <v>211</v>
      </c>
      <c r="F51" s="337" t="s">
        <v>397</v>
      </c>
      <c r="G51" s="337" t="s">
        <v>253</v>
      </c>
      <c r="H51" s="43">
        <v>3.3333333333333335</v>
      </c>
      <c r="I51" s="43" t="s">
        <v>100</v>
      </c>
      <c r="J51" s="43" t="s">
        <v>100</v>
      </c>
      <c r="K51" s="43" t="s">
        <v>100</v>
      </c>
      <c r="L51" s="43" t="s">
        <v>100</v>
      </c>
      <c r="M51" s="43" t="s">
        <v>100</v>
      </c>
      <c r="N51" s="43" t="str">
        <f t="shared" si="1"/>
        <v>0000011</v>
      </c>
      <c r="O51" s="43">
        <v>0.54166666666666663</v>
      </c>
      <c r="P51" s="43">
        <v>0.70833333333333337</v>
      </c>
      <c r="Q51" s="43">
        <f>Planejamento2025[[#This Row],[Saída]]-Planejamento2025[[#This Row],[Entrada]]</f>
        <v>0.16666666666666674</v>
      </c>
      <c r="R51" s="130">
        <f>Planejamento2025[[#This Row],[Carga Horária]]/Q51</f>
        <v>19.999999999999993</v>
      </c>
      <c r="S51" s="44">
        <v>45868</v>
      </c>
      <c r="T51" s="44">
        <f>WORKDAY.INTL(S51,R51,Planejamento2025[[#This Row],[Padrão]],Calendário!$R$4:$R$35)</f>
        <v>45895</v>
      </c>
      <c r="U51" s="338" t="s">
        <v>198</v>
      </c>
      <c r="V51" s="339">
        <v>16</v>
      </c>
      <c r="W51" s="348"/>
      <c r="X51" s="341" t="str">
        <f>IF(Planejamento2025[[#This Row],[Fonte Pagadora]]="Anna de Moura",(W51*H51*24),"R$ 0,00")</f>
        <v>R$ 0,00</v>
      </c>
      <c r="Y51" s="349"/>
      <c r="Z51" s="335">
        <f>INDEX(Tabela1[Valor RH / Executado],MATCH(Planejamento2025[[#This Row],[ID]],Tabela1[ID],0))</f>
        <v>0</v>
      </c>
      <c r="AA51" s="184">
        <f>INDEX(Tabela1[Valor Insumo / Executado],MATCH(Planejamento2025[[#This Row],[ID]],Tabela1[ID],0))</f>
        <v>0</v>
      </c>
      <c r="AB51" s="35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1" s="338" t="s">
        <v>15</v>
      </c>
      <c r="AD51" s="338" t="s">
        <v>15</v>
      </c>
      <c r="AE5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51" s="419" t="s">
        <v>424</v>
      </c>
      <c r="AG51" s="336"/>
    </row>
    <row r="52" spans="1:33" ht="30" customHeight="1" x14ac:dyDescent="0.25">
      <c r="A5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PacOff_T4</v>
      </c>
      <c r="B52" s="337" t="s">
        <v>78</v>
      </c>
      <c r="C52" s="47" t="s">
        <v>278</v>
      </c>
      <c r="D52" s="47" t="s">
        <v>228</v>
      </c>
      <c r="E52" s="337" t="s">
        <v>74</v>
      </c>
      <c r="F52" s="337" t="s">
        <v>397</v>
      </c>
      <c r="G52" s="337" t="s">
        <v>190</v>
      </c>
      <c r="H52" s="43">
        <v>4</v>
      </c>
      <c r="I52" s="43"/>
      <c r="J52" s="43" t="s">
        <v>100</v>
      </c>
      <c r="K52" s="43" t="s">
        <v>100</v>
      </c>
      <c r="L52" s="43"/>
      <c r="M52" s="43"/>
      <c r="N52" s="134" t="str">
        <f t="shared" si="1"/>
        <v>1001111</v>
      </c>
      <c r="O52" s="43">
        <v>0.79166666666666663</v>
      </c>
      <c r="P52" s="43">
        <v>0.91666666666666663</v>
      </c>
      <c r="Q52" s="43">
        <f>Planejamento2025[[#This Row],[Saída]]-Planejamento2025[[#This Row],[Entrada]]</f>
        <v>0.125</v>
      </c>
      <c r="R52" s="130">
        <f>Planejamento2025[[#This Row],[Carga Horária]]/Q52</f>
        <v>32</v>
      </c>
      <c r="S52" s="44">
        <v>45874</v>
      </c>
      <c r="T52" s="44">
        <v>45986</v>
      </c>
      <c r="U52" s="338" t="s">
        <v>240</v>
      </c>
      <c r="V52" s="339">
        <v>14</v>
      </c>
      <c r="W52" s="348">
        <v>47.5</v>
      </c>
      <c r="X52" s="341">
        <f>IF(Planejamento2025[[#This Row],[Fonte Pagadora]]="Anna de Moura",(W52*H52*24),"R$ 0,00")</f>
        <v>4560</v>
      </c>
      <c r="Y52" s="349"/>
      <c r="Z52" s="335">
        <f>INDEX(Tabela1[Valor RH / Executado],MATCH(Planejamento2025[[#This Row],[ID]],Tabela1[ID],0))</f>
        <v>0</v>
      </c>
      <c r="AA52" s="184">
        <f>INDEX(Tabela1[Valor Insumo / Executado],MATCH(Planejamento2025[[#This Row],[ID]],Tabela1[ID],0))</f>
        <v>0</v>
      </c>
      <c r="AB52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2" s="338" t="s">
        <v>5</v>
      </c>
      <c r="AD52" s="338" t="s">
        <v>343</v>
      </c>
      <c r="AE5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2" s="419" t="s">
        <v>423</v>
      </c>
      <c r="AG52" s="336"/>
    </row>
    <row r="53" spans="1:33" ht="30" customHeight="1" x14ac:dyDescent="0.25">
      <c r="A53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DesCap_T1</v>
      </c>
      <c r="B53" s="337" t="s">
        <v>344</v>
      </c>
      <c r="C53" s="47" t="s">
        <v>137</v>
      </c>
      <c r="D53" s="47" t="s">
        <v>228</v>
      </c>
      <c r="E53" s="337" t="s">
        <v>76</v>
      </c>
      <c r="F53" s="337" t="s">
        <v>397</v>
      </c>
      <c r="G53" s="337" t="s">
        <v>184</v>
      </c>
      <c r="H53" s="43">
        <v>3.3333333333333335</v>
      </c>
      <c r="I53" s="43"/>
      <c r="J53" s="43" t="s">
        <v>100</v>
      </c>
      <c r="K53" s="43" t="s">
        <v>100</v>
      </c>
      <c r="L53" s="43"/>
      <c r="M53" s="43"/>
      <c r="N53" s="134" t="str">
        <f t="shared" si="1"/>
        <v>1001111</v>
      </c>
      <c r="O53" s="43">
        <v>0.79166666666666663</v>
      </c>
      <c r="P53" s="43">
        <v>0.91666666666666663</v>
      </c>
      <c r="Q53" s="43">
        <f>Planejamento2025[[#This Row],[Saída]]-Planejamento2025[[#This Row],[Entrada]]</f>
        <v>0.125</v>
      </c>
      <c r="R53" s="130">
        <f>Planejamento2025[[#This Row],[Carga Horária]]/Q53</f>
        <v>26.666666666666668</v>
      </c>
      <c r="S53" s="44">
        <v>45874</v>
      </c>
      <c r="T53" s="44">
        <f>WORKDAY.INTL(S53,R53,Planejamento2025[[#This Row],[Padrão]],Calendário!$R$4:$R$35)</f>
        <v>45966</v>
      </c>
      <c r="U53" s="338" t="s">
        <v>240</v>
      </c>
      <c r="V53" s="339">
        <v>25</v>
      </c>
      <c r="W53" s="348">
        <v>47.5</v>
      </c>
      <c r="X53" s="341">
        <f>IF(Planejamento2025[[#This Row],[Fonte Pagadora]]="Anna de Moura",(W53*H53*24),"R$ 0,00")</f>
        <v>3800</v>
      </c>
      <c r="Y53" s="349"/>
      <c r="Z53" s="335">
        <f>INDEX(Tabela1[Valor RH / Executado],MATCH(Planejamento2025[[#This Row],[ID]],Tabela1[ID],0))</f>
        <v>0</v>
      </c>
      <c r="AA53" s="184">
        <f>INDEX(Tabela1[Valor Insumo / Executado],MATCH(Planejamento2025[[#This Row],[ID]],Tabela1[ID],0))</f>
        <v>0</v>
      </c>
      <c r="AB5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3" s="338" t="s">
        <v>5</v>
      </c>
      <c r="AD53" s="338" t="s">
        <v>15</v>
      </c>
      <c r="AE5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3" s="419" t="s">
        <v>422</v>
      </c>
      <c r="AG53" s="336"/>
    </row>
    <row r="54" spans="1:33" ht="30" customHeight="1" x14ac:dyDescent="0.25">
      <c r="A54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Maq _T1</v>
      </c>
      <c r="B54" s="337" t="s">
        <v>281</v>
      </c>
      <c r="C54" s="47" t="s">
        <v>137</v>
      </c>
      <c r="D54" s="47" t="s">
        <v>230</v>
      </c>
      <c r="E54" s="337" t="s">
        <v>179</v>
      </c>
      <c r="F54" s="337" t="s">
        <v>401</v>
      </c>
      <c r="G54" s="337" t="s">
        <v>191</v>
      </c>
      <c r="H54" s="43">
        <v>1.6666666666666667</v>
      </c>
      <c r="I54" s="43"/>
      <c r="J54" s="43" t="s">
        <v>100</v>
      </c>
      <c r="K54" s="43"/>
      <c r="L54" s="43"/>
      <c r="M54" s="43"/>
      <c r="N54" s="230" t="str">
        <f t="shared" si="1"/>
        <v>1011111</v>
      </c>
      <c r="O54" s="43">
        <v>0.58333333333333337</v>
      </c>
      <c r="P54" s="43">
        <v>0.70833333333333337</v>
      </c>
      <c r="Q54" s="43">
        <f>Planejamento2025[[#This Row],[Saída]]-Planejamento2025[[#This Row],[Entrada]]</f>
        <v>0.125</v>
      </c>
      <c r="R54" s="130">
        <f>Planejamento2025[[#This Row],[Carga Horária]]/Q54</f>
        <v>13.333333333333334</v>
      </c>
      <c r="S54" s="44">
        <v>45874</v>
      </c>
      <c r="T54" s="44">
        <f>WORKDAY.INTL(S54,R54,Planejamento2025[[#This Row],[Padrão]],Calendário!$R$4:$R$35)</f>
        <v>45965</v>
      </c>
      <c r="U54" s="338" t="s">
        <v>198</v>
      </c>
      <c r="V54" s="339">
        <v>20</v>
      </c>
      <c r="W54" s="340">
        <v>47.5</v>
      </c>
      <c r="X54" s="341">
        <f>IF(Planejamento2025[[#This Row],[Fonte Pagadora]]="Anna de Moura",(W54*H54*24),"R$ 0,00")</f>
        <v>1900</v>
      </c>
      <c r="Y54" s="341"/>
      <c r="Z54" s="335">
        <f>INDEX(Tabela1[Valor RH / Executado],MATCH(Planejamento2025[[#This Row],[ID]],Tabela1[ID],0))</f>
        <v>0</v>
      </c>
      <c r="AA54" s="184">
        <f>INDEX(Tabela1[Valor Insumo / Executado],MATCH(Planejamento2025[[#This Row],[ID]],Tabela1[ID],0))</f>
        <v>0</v>
      </c>
      <c r="AB54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4" s="338" t="s">
        <v>5</v>
      </c>
      <c r="AD54" s="338" t="s">
        <v>5</v>
      </c>
      <c r="AE5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54" s="419" t="s">
        <v>426</v>
      </c>
      <c r="AG54" s="336"/>
    </row>
    <row r="55" spans="1:33" s="232" customFormat="1" ht="30" customHeight="1" x14ac:dyDescent="0.25">
      <c r="A5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Bolno _T1</v>
      </c>
      <c r="B55" s="337" t="s">
        <v>346</v>
      </c>
      <c r="C55" s="47" t="s">
        <v>137</v>
      </c>
      <c r="D55" s="47" t="s">
        <v>228</v>
      </c>
      <c r="E55" s="337" t="s">
        <v>213</v>
      </c>
      <c r="F55" s="337" t="s">
        <v>397</v>
      </c>
      <c r="G55" s="337" t="s">
        <v>186</v>
      </c>
      <c r="H55" s="43">
        <v>0.75</v>
      </c>
      <c r="I55" s="43"/>
      <c r="J55" s="43" t="s">
        <v>100</v>
      </c>
      <c r="K55" s="43" t="s">
        <v>100</v>
      </c>
      <c r="L55" s="43"/>
      <c r="M55" s="43"/>
      <c r="N55" s="230" t="str">
        <f t="shared" si="1"/>
        <v>1001111</v>
      </c>
      <c r="O55" s="43">
        <v>0.79166666666666663</v>
      </c>
      <c r="P55" s="43">
        <v>0.91666666666666663</v>
      </c>
      <c r="Q55" s="43">
        <f>Planejamento2025[[#This Row],[Saída]]-Planejamento2025[[#This Row],[Entrada]]</f>
        <v>0.125</v>
      </c>
      <c r="R55" s="130">
        <f>Planejamento2025[[#This Row],[Carga Horária]]/Q55</f>
        <v>6</v>
      </c>
      <c r="S55" s="44">
        <v>45874</v>
      </c>
      <c r="T55" s="44">
        <v>45889</v>
      </c>
      <c r="U55" s="338" t="s">
        <v>198</v>
      </c>
      <c r="V55" s="339">
        <v>16</v>
      </c>
      <c r="W55" s="340">
        <v>47.5</v>
      </c>
      <c r="X55" s="341">
        <f>IF(Planejamento2025[[#This Row],[Fonte Pagadora]]="Anna de Moura",(W55*H55*24),"R$ 0,00")</f>
        <v>855</v>
      </c>
      <c r="Y55" s="341"/>
      <c r="Z55" s="335">
        <f>INDEX(Tabela1[Valor RH / Executado],MATCH(Planejamento2025[[#This Row],[ID]],Tabela1[ID],0))</f>
        <v>0</v>
      </c>
      <c r="AA55" s="184">
        <f>INDEX(Tabela1[Valor Insumo / Executado],MATCH(Planejamento2025[[#This Row],[ID]],Tabela1[ID],0))</f>
        <v>0</v>
      </c>
      <c r="AB55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5" s="338" t="s">
        <v>5</v>
      </c>
      <c r="AD55" s="338" t="s">
        <v>5</v>
      </c>
      <c r="AE5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55" s="419" t="s">
        <v>425</v>
      </c>
      <c r="AG55" s="347"/>
    </row>
    <row r="56" spans="1:33" s="325" customFormat="1" ht="30" customHeight="1" x14ac:dyDescent="0.25">
      <c r="A5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ComElé_T2</v>
      </c>
      <c r="B56" s="337" t="s">
        <v>89</v>
      </c>
      <c r="C56" s="47" t="s">
        <v>138</v>
      </c>
      <c r="D56" s="47" t="s">
        <v>230</v>
      </c>
      <c r="E56" s="337" t="s">
        <v>90</v>
      </c>
      <c r="F56" s="337" t="s">
        <v>397</v>
      </c>
      <c r="G56" s="337" t="s">
        <v>259</v>
      </c>
      <c r="H56" s="43">
        <v>5</v>
      </c>
      <c r="I56" s="43"/>
      <c r="J56" s="43" t="s">
        <v>100</v>
      </c>
      <c r="K56" s="43"/>
      <c r="L56" s="43" t="s">
        <v>100</v>
      </c>
      <c r="M56" s="43"/>
      <c r="N56" s="43" t="str">
        <f t="shared" si="1"/>
        <v>1010111</v>
      </c>
      <c r="O56" s="43">
        <v>0.54166666666666663</v>
      </c>
      <c r="P56" s="43">
        <v>0.72916666666666663</v>
      </c>
      <c r="Q56" s="43">
        <f>Planejamento2025[[#This Row],[Saída]]-Planejamento2025[[#This Row],[Entrada]]</f>
        <v>0.1875</v>
      </c>
      <c r="R56" s="130">
        <f>Planejamento2025[[#This Row],[Carga Horária]]/Q56</f>
        <v>26.666666666666668</v>
      </c>
      <c r="S56" s="44">
        <v>45874</v>
      </c>
      <c r="T56" s="44">
        <v>45960</v>
      </c>
      <c r="U56" s="338" t="s">
        <v>198</v>
      </c>
      <c r="V56" s="339">
        <v>16</v>
      </c>
      <c r="W56" s="340"/>
      <c r="X56" s="341" t="str">
        <f>IF(Planejamento2025[[#This Row],[Fonte Pagadora]]="Anna de Moura",(W56*H56*24),"R$ 0,00")</f>
        <v>R$ 0,00</v>
      </c>
      <c r="Y56" s="341"/>
      <c r="Z56" s="335">
        <f>INDEX(Tabela1[Valor RH / Executado],MATCH(Planejamento2025[[#This Row],[ID]],Tabela1[ID],0))</f>
        <v>0</v>
      </c>
      <c r="AA56" s="184">
        <f>INDEX(Tabela1[Valor Insumo / Executado],MATCH(Planejamento2025[[#This Row],[ID]],Tabela1[ID],0))</f>
        <v>0</v>
      </c>
      <c r="AB56" s="350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6" s="338" t="s">
        <v>15</v>
      </c>
      <c r="AD56" s="338" t="s">
        <v>15</v>
      </c>
      <c r="AE5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56" s="419" t="s">
        <v>427</v>
      </c>
      <c r="AG56" s="347"/>
    </row>
    <row r="57" spans="1:33" s="326" customFormat="1" ht="30" customHeight="1" x14ac:dyDescent="0.25">
      <c r="A57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InfBás_T4</v>
      </c>
      <c r="B57" s="337" t="s">
        <v>79</v>
      </c>
      <c r="C57" s="47" t="s">
        <v>278</v>
      </c>
      <c r="D57" s="47" t="s">
        <v>230</v>
      </c>
      <c r="E57" s="337" t="s">
        <v>74</v>
      </c>
      <c r="F57" s="337" t="s">
        <v>401</v>
      </c>
      <c r="G57" s="337" t="s">
        <v>188</v>
      </c>
      <c r="H57" s="43">
        <v>2.5</v>
      </c>
      <c r="I57" s="43"/>
      <c r="J57" s="43" t="s">
        <v>100</v>
      </c>
      <c r="K57" s="43"/>
      <c r="L57" s="43" t="s">
        <v>100</v>
      </c>
      <c r="M57" s="43"/>
      <c r="N57" s="43" t="str">
        <f t="shared" si="1"/>
        <v>1010111</v>
      </c>
      <c r="O57" s="43">
        <v>0.625</v>
      </c>
      <c r="P57" s="43">
        <v>0.75</v>
      </c>
      <c r="Q57" s="43">
        <f>Planejamento2025[[#This Row],[Saída]]-Planejamento2025[[#This Row],[Entrada]]</f>
        <v>0.125</v>
      </c>
      <c r="R57" s="130">
        <f>Planejamento2025[[#This Row],[Carga Horária]]/Q57</f>
        <v>20</v>
      </c>
      <c r="S57" s="44">
        <v>45874</v>
      </c>
      <c r="T57" s="44">
        <v>45939</v>
      </c>
      <c r="U57" s="338" t="s">
        <v>200</v>
      </c>
      <c r="V57" s="339">
        <v>16</v>
      </c>
      <c r="W57" s="340">
        <v>47.5</v>
      </c>
      <c r="X57" s="341">
        <f>IF(Planejamento2025[[#This Row],[Fonte Pagadora]]="Anna de Moura",(W57*H57*24),"R$ 0,00")</f>
        <v>2850</v>
      </c>
      <c r="Y57" s="341"/>
      <c r="Z57" s="335">
        <f>INDEX(Tabela1[Valor RH / Executado],MATCH(Planejamento2025[[#This Row],[ID]],Tabela1[ID],0))</f>
        <v>0</v>
      </c>
      <c r="AA57" s="184">
        <f>INDEX(Tabela1[Valor Insumo / Executado],MATCH(Planejamento2025[[#This Row],[ID]],Tabela1[ID],0))</f>
        <v>0</v>
      </c>
      <c r="AB5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7" s="338" t="s">
        <v>5</v>
      </c>
      <c r="AD57" s="338" t="s">
        <v>15</v>
      </c>
      <c r="AE5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7" s="419" t="s">
        <v>420</v>
      </c>
      <c r="AG57" s="347"/>
    </row>
    <row r="58" spans="1:33" s="326" customFormat="1" ht="30" customHeight="1" x14ac:dyDescent="0.25">
      <c r="A5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Excno _T1</v>
      </c>
      <c r="B58" s="337" t="s">
        <v>361</v>
      </c>
      <c r="C58" s="47" t="s">
        <v>137</v>
      </c>
      <c r="D58" s="47" t="s">
        <v>228</v>
      </c>
      <c r="E58" s="337" t="s">
        <v>76</v>
      </c>
      <c r="F58" s="337" t="s">
        <v>397</v>
      </c>
      <c r="G58" s="337" t="s">
        <v>188</v>
      </c>
      <c r="H58" s="43">
        <v>0.83333333333333337</v>
      </c>
      <c r="I58" s="43"/>
      <c r="J58" s="43" t="s">
        <v>100</v>
      </c>
      <c r="K58" s="43"/>
      <c r="L58" s="43" t="s">
        <v>100</v>
      </c>
      <c r="M58" s="43"/>
      <c r="N58" s="134" t="str">
        <f t="shared" si="1"/>
        <v>1010111</v>
      </c>
      <c r="O58" s="43">
        <v>0.79166666666666663</v>
      </c>
      <c r="P58" s="43">
        <v>0.91666666666666663</v>
      </c>
      <c r="Q58" s="43">
        <f>Planejamento2025[[#This Row],[Saída]]-Planejamento2025[[#This Row],[Entrada]]</f>
        <v>0.125</v>
      </c>
      <c r="R58" s="130">
        <f>Planejamento2025[[#This Row],[Carga Horária]]/Q58</f>
        <v>6.666666666666667</v>
      </c>
      <c r="S58" s="44">
        <v>45874</v>
      </c>
      <c r="T58" s="44">
        <f>WORKDAY.INTL(S58,R58,Planejamento2025[[#This Row],[Padrão]],Calendário!$R$4:$R$35)</f>
        <v>45895</v>
      </c>
      <c r="U58" s="338" t="s">
        <v>199</v>
      </c>
      <c r="V58" s="339">
        <v>20</v>
      </c>
      <c r="W58" s="348">
        <v>47.5</v>
      </c>
      <c r="X58" s="341">
        <f>IF(Planejamento2025[[#This Row],[Fonte Pagadora]]="Anna de Moura",(W58*H58*24),"R$ 0,00")</f>
        <v>950</v>
      </c>
      <c r="Y58" s="349"/>
      <c r="Z58" s="335">
        <f>INDEX(Tabela1[Valor RH / Executado],MATCH(Planejamento2025[[#This Row],[ID]],Tabela1[ID],0))</f>
        <v>0</v>
      </c>
      <c r="AA58" s="184">
        <f>INDEX(Tabela1[Valor Insumo / Executado],MATCH(Planejamento2025[[#This Row],[ID]],Tabela1[ID],0))</f>
        <v>0</v>
      </c>
      <c r="AB5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8" s="338" t="s">
        <v>5</v>
      </c>
      <c r="AD58" s="338" t="s">
        <v>15</v>
      </c>
      <c r="AE5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8" s="419" t="s">
        <v>419</v>
      </c>
      <c r="AG58" s="347"/>
    </row>
    <row r="59" spans="1:33" s="148" customFormat="1" ht="30" customHeight="1" x14ac:dyDescent="0.25">
      <c r="A59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RotAdm_T1</v>
      </c>
      <c r="B59" s="337" t="s">
        <v>360</v>
      </c>
      <c r="C59" s="47" t="s">
        <v>137</v>
      </c>
      <c r="D59" s="47" t="s">
        <v>228</v>
      </c>
      <c r="E59" s="337" t="s">
        <v>76</v>
      </c>
      <c r="F59" s="337" t="s">
        <v>397</v>
      </c>
      <c r="G59" s="337" t="s">
        <v>362</v>
      </c>
      <c r="H59" s="43">
        <v>4.166666666666667</v>
      </c>
      <c r="I59" s="43"/>
      <c r="J59" s="43"/>
      <c r="K59" s="43" t="s">
        <v>100</v>
      </c>
      <c r="L59" s="43" t="s">
        <v>100</v>
      </c>
      <c r="M59" s="43"/>
      <c r="N59" s="134" t="str">
        <f t="shared" si="1"/>
        <v>1100111</v>
      </c>
      <c r="O59" s="43">
        <v>0.79166666666666663</v>
      </c>
      <c r="P59" s="43">
        <v>0.91666666666666663</v>
      </c>
      <c r="Q59" s="43">
        <f>Planejamento2025[[#This Row],[Saída]]-Planejamento2025[[#This Row],[Entrada]]</f>
        <v>0.125</v>
      </c>
      <c r="R59" s="130">
        <f>Planejamento2025[[#This Row],[Carga Horária]]/Q59</f>
        <v>33.333333333333336</v>
      </c>
      <c r="S59" s="44">
        <v>45875</v>
      </c>
      <c r="T59" s="44">
        <v>45987</v>
      </c>
      <c r="U59" s="338" t="s">
        <v>198</v>
      </c>
      <c r="V59" s="339">
        <v>20</v>
      </c>
      <c r="W59" s="340">
        <v>47.5</v>
      </c>
      <c r="X59" s="341">
        <f>IF(Planejamento2025[[#This Row],[Fonte Pagadora]]="Anna de Moura",(W59*H59*24),"R$ 0,00")</f>
        <v>4750</v>
      </c>
      <c r="Y59" s="341"/>
      <c r="Z59" s="335">
        <f>INDEX(Tabela1[Valor RH / Executado],MATCH(Planejamento2025[[#This Row],[ID]],Tabela1[ID],0))</f>
        <v>0</v>
      </c>
      <c r="AA59" s="184">
        <f>INDEX(Tabela1[Valor Insumo / Executado],MATCH(Planejamento2025[[#This Row],[ID]],Tabela1[ID],0))</f>
        <v>0</v>
      </c>
      <c r="AB59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9" s="338" t="s">
        <v>5</v>
      </c>
      <c r="AD59" s="338" t="s">
        <v>15</v>
      </c>
      <c r="AE5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9" s="419" t="s">
        <v>421</v>
      </c>
      <c r="AG59" s="347"/>
    </row>
    <row r="60" spans="1:33" s="148" customFormat="1" ht="30" customHeight="1" x14ac:dyDescent="0.25">
      <c r="A60" s="337" t="s">
        <v>310</v>
      </c>
      <c r="B60" s="337" t="s">
        <v>149</v>
      </c>
      <c r="C60" s="47" t="s">
        <v>137</v>
      </c>
      <c r="D60" s="47" t="s">
        <v>230</v>
      </c>
      <c r="E60" s="337" t="s">
        <v>179</v>
      </c>
      <c r="F60" s="337" t="s">
        <v>401</v>
      </c>
      <c r="G60" s="337" t="s">
        <v>193</v>
      </c>
      <c r="H60" s="43">
        <v>0.625</v>
      </c>
      <c r="I60" s="43"/>
      <c r="J60" s="43"/>
      <c r="K60" s="43" t="s">
        <v>100</v>
      </c>
      <c r="L60" s="43"/>
      <c r="M60" s="43"/>
      <c r="N60" s="230" t="str">
        <f t="shared" si="1"/>
        <v>1101111</v>
      </c>
      <c r="O60" s="43">
        <v>0.70833333333333337</v>
      </c>
      <c r="P60" s="43">
        <v>0.75</v>
      </c>
      <c r="Q60" s="43">
        <f>Planejamento2025[[#This Row],[Saída]]-Planejamento2025[[#This Row],[Entrada]]</f>
        <v>4.166666666666663E-2</v>
      </c>
      <c r="R60" s="130">
        <f>Planejamento2025[[#This Row],[Carga Horária]]/Q60</f>
        <v>15.000000000000014</v>
      </c>
      <c r="S60" s="44">
        <v>45875</v>
      </c>
      <c r="T60" s="44">
        <f>WORKDAY.INTL(S60,R60,Planejamento2025[[#This Row],[Padrão]],Calendário!$R$4:$R$35)</f>
        <v>45987</v>
      </c>
      <c r="U60" s="338" t="s">
        <v>198</v>
      </c>
      <c r="V60" s="339"/>
      <c r="W60" s="348">
        <v>55</v>
      </c>
      <c r="X60" s="341">
        <f>IF(Planejamento2025[[#This Row],[Fonte Pagadora]]="Anna de Moura",(W60*H60*24),"R$ 0,00")</f>
        <v>825</v>
      </c>
      <c r="Y60" s="349"/>
      <c r="Z60" s="335"/>
      <c r="AA60" s="184">
        <f>INDEX(Tabela1[Valor Insumo / Executado],MATCH(Planejamento2025[[#This Row],[ID]],Tabela1[ID],0))</f>
        <v>0</v>
      </c>
      <c r="AB6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0" s="338" t="s">
        <v>5</v>
      </c>
      <c r="AD60" s="338" t="s">
        <v>5</v>
      </c>
      <c r="AE6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0" s="419" t="s">
        <v>429</v>
      </c>
      <c r="AG60" s="347"/>
    </row>
    <row r="61" spans="1:33" s="148" customFormat="1" ht="30" customHeight="1" x14ac:dyDescent="0.25">
      <c r="A61" s="337" t="s">
        <v>320</v>
      </c>
      <c r="B61" s="337" t="s">
        <v>152</v>
      </c>
      <c r="C61" s="47" t="s">
        <v>137</v>
      </c>
      <c r="D61" s="47" t="s">
        <v>228</v>
      </c>
      <c r="E61" s="337" t="s">
        <v>181</v>
      </c>
      <c r="F61" s="337" t="s">
        <v>401</v>
      </c>
      <c r="G61" s="337" t="s">
        <v>194</v>
      </c>
      <c r="H61" s="43">
        <v>1.8333333333333333</v>
      </c>
      <c r="I61" s="43"/>
      <c r="J61" s="43"/>
      <c r="K61" s="43" t="s">
        <v>100</v>
      </c>
      <c r="L61" s="43"/>
      <c r="M61" s="43"/>
      <c r="N61" s="230" t="str">
        <f t="shared" si="1"/>
        <v>1101111</v>
      </c>
      <c r="O61" s="43">
        <v>0.79166666666666663</v>
      </c>
      <c r="P61" s="43">
        <v>0.89583333333333337</v>
      </c>
      <c r="Q61" s="43">
        <f>Planejamento2025[[#This Row],[Saída]]-Planejamento2025[[#This Row],[Entrada]]</f>
        <v>0.10416666666666674</v>
      </c>
      <c r="R61" s="130">
        <f>Planejamento2025[[#This Row],[Carga Horária]]/Q61</f>
        <v>17.599999999999987</v>
      </c>
      <c r="S61" s="44">
        <v>45875</v>
      </c>
      <c r="T61" s="44">
        <f>WORKDAY.INTL(S61,R61,Planejamento2025[[#This Row],[Padrão]],Calendário!$R$4:$R$35)</f>
        <v>46001</v>
      </c>
      <c r="U61" s="338" t="s">
        <v>200</v>
      </c>
      <c r="V61" s="339"/>
      <c r="W61" s="348">
        <v>47.5</v>
      </c>
      <c r="X61" s="341">
        <f>IF(Planejamento2025[[#This Row],[Fonte Pagadora]]="Anna de Moura",(W61*H61*24),"R$ 0,00")</f>
        <v>2090</v>
      </c>
      <c r="Y61" s="349">
        <v>0</v>
      </c>
      <c r="Z61" s="335"/>
      <c r="AA61" s="184">
        <f>INDEX(Tabela1[Valor Insumo / Executado],MATCH(Planejamento2025[[#This Row],[ID]],Tabela1[ID],0))</f>
        <v>0</v>
      </c>
      <c r="AB61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1" s="338" t="s">
        <v>5</v>
      </c>
      <c r="AD61" s="338" t="s">
        <v>5</v>
      </c>
      <c r="AE6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1" s="419" t="s">
        <v>428</v>
      </c>
      <c r="AG61" s="347"/>
    </row>
    <row r="62" spans="1:33" s="232" customFormat="1" ht="30" customHeight="1" x14ac:dyDescent="0.25">
      <c r="A6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Monde _T1</v>
      </c>
      <c r="B62" s="337" t="s">
        <v>354</v>
      </c>
      <c r="C62" s="47" t="s">
        <v>137</v>
      </c>
      <c r="D62" s="47" t="s">
        <v>230</v>
      </c>
      <c r="E62" s="337" t="s">
        <v>90</v>
      </c>
      <c r="F62" s="337" t="s">
        <v>397</v>
      </c>
      <c r="G62" s="337" t="s">
        <v>259</v>
      </c>
      <c r="H62" s="43">
        <v>3.3333333333333335</v>
      </c>
      <c r="I62" s="43"/>
      <c r="J62" s="43"/>
      <c r="K62" s="43" t="s">
        <v>100</v>
      </c>
      <c r="L62" s="43"/>
      <c r="M62" s="43" t="s">
        <v>100</v>
      </c>
      <c r="N62" s="43" t="str">
        <f t="shared" si="1"/>
        <v>1101011</v>
      </c>
      <c r="O62" s="43">
        <v>0.54166666666666663</v>
      </c>
      <c r="P62" s="43">
        <v>0.70833333333333337</v>
      </c>
      <c r="Q62" s="43">
        <f>Planejamento2025[[#This Row],[Saída]]-Planejamento2025[[#This Row],[Entrada]]</f>
        <v>0.16666666666666674</v>
      </c>
      <c r="R62" s="130">
        <f>Planejamento2025[[#This Row],[Carga Horária]]/Q62</f>
        <v>19.999999999999993</v>
      </c>
      <c r="S62" s="44">
        <v>45875</v>
      </c>
      <c r="T62" s="44">
        <f>WORKDAY.INTL(S62,R62,Planejamento2025[[#This Row],[Padrão]],Calendário!$R$4:$R$35)</f>
        <v>45940</v>
      </c>
      <c r="U62" s="338" t="s">
        <v>198</v>
      </c>
      <c r="V62" s="339">
        <v>16</v>
      </c>
      <c r="W62" s="340"/>
      <c r="X62" s="341" t="str">
        <f>IF(Planejamento2025[[#This Row],[Fonte Pagadora]]="Anna de Moura",(W62*H62*24),"R$ 0,00")</f>
        <v>R$ 0,00</v>
      </c>
      <c r="Y62" s="341"/>
      <c r="Z62" s="335">
        <f>INDEX(Tabela1[Valor RH / Executado],MATCH(Planejamento2025[[#This Row],[ID]],Tabela1[ID],0))</f>
        <v>0</v>
      </c>
      <c r="AA62" s="184">
        <f>INDEX(Tabela1[Valor Insumo / Executado],MATCH(Planejamento2025[[#This Row],[ID]],Tabela1[ID],0))</f>
        <v>0</v>
      </c>
      <c r="AB62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2" s="338" t="s">
        <v>15</v>
      </c>
      <c r="AD62" s="338" t="s">
        <v>15</v>
      </c>
      <c r="AE6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2" s="419" t="s">
        <v>427</v>
      </c>
      <c r="AG62" s="347"/>
    </row>
    <row r="63" spans="1:33" s="325" customFormat="1" ht="30" customHeight="1" x14ac:dyDescent="0.25">
      <c r="A63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EleIns_T2</v>
      </c>
      <c r="B63" s="337" t="s">
        <v>88</v>
      </c>
      <c r="C63" s="47" t="s">
        <v>138</v>
      </c>
      <c r="D63" s="47" t="s">
        <v>228</v>
      </c>
      <c r="E63" s="337" t="s">
        <v>90</v>
      </c>
      <c r="F63" s="337" t="s">
        <v>399</v>
      </c>
      <c r="G63" s="337" t="s">
        <v>259</v>
      </c>
      <c r="H63" s="43">
        <v>6.666666666666667</v>
      </c>
      <c r="I63" s="43"/>
      <c r="J63" s="43" t="s">
        <v>100</v>
      </c>
      <c r="K63" s="43" t="s">
        <v>100</v>
      </c>
      <c r="L63" s="43" t="s">
        <v>100</v>
      </c>
      <c r="M63" s="43"/>
      <c r="N63" s="43" t="str">
        <f t="shared" si="1"/>
        <v>1000111</v>
      </c>
      <c r="O63" s="43">
        <v>0.77083333333333337</v>
      </c>
      <c r="P63" s="43">
        <v>0.91666666666666663</v>
      </c>
      <c r="Q63" s="43">
        <f>Planejamento2025[[#This Row],[Saída]]-Planejamento2025[[#This Row],[Entrada]]</f>
        <v>0.14583333333333326</v>
      </c>
      <c r="R63" s="130">
        <f>Planejamento2025[[#This Row],[Carga Horária]]/Q63</f>
        <v>45.714285714285737</v>
      </c>
      <c r="S63" s="44">
        <v>45875</v>
      </c>
      <c r="T63" s="44">
        <v>45960</v>
      </c>
      <c r="U63" s="338" t="s">
        <v>198</v>
      </c>
      <c r="V63" s="339">
        <v>16</v>
      </c>
      <c r="W63" s="340"/>
      <c r="X63" s="341" t="str">
        <f>IF(Planejamento2025[[#This Row],[Fonte Pagadora]]="Anna de Moura",(W63*H63*24),"R$ 0,00")</f>
        <v>R$ 0,00</v>
      </c>
      <c r="Y63" s="341"/>
      <c r="Z63" s="335">
        <f>INDEX(Tabela1[Valor RH / Executado],MATCH(Planejamento2025[[#This Row],[ID]],Tabela1[ID],0))</f>
        <v>0</v>
      </c>
      <c r="AA63" s="184">
        <f>INDEX(Tabela1[Valor Insumo / Executado],MATCH(Planejamento2025[[#This Row],[ID]],Tabela1[ID],0))</f>
        <v>0</v>
      </c>
      <c r="AB63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3" s="338" t="s">
        <v>15</v>
      </c>
      <c r="AD63" s="338" t="s">
        <v>15</v>
      </c>
      <c r="AE6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3" s="419" t="s">
        <v>427</v>
      </c>
      <c r="AG63" s="347" t="s">
        <v>351</v>
      </c>
    </row>
    <row r="64" spans="1:33" s="326" customFormat="1" ht="30" customHeight="1" x14ac:dyDescent="0.25">
      <c r="A64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_T3</v>
      </c>
      <c r="B64" s="337" t="s">
        <v>153</v>
      </c>
      <c r="C64" s="47" t="s">
        <v>252</v>
      </c>
      <c r="D64" s="47" t="s">
        <v>230</v>
      </c>
      <c r="E64" s="337" t="s">
        <v>182</v>
      </c>
      <c r="F64" s="337" t="s">
        <v>401</v>
      </c>
      <c r="G64" s="337" t="s">
        <v>195</v>
      </c>
      <c r="H64" s="43">
        <v>1.5</v>
      </c>
      <c r="I64" s="43"/>
      <c r="J64" s="43"/>
      <c r="K64" s="43"/>
      <c r="L64" s="43" t="s">
        <v>139</v>
      </c>
      <c r="M64" s="43"/>
      <c r="N64" s="43" t="str">
        <f t="shared" si="1"/>
        <v>1110111</v>
      </c>
      <c r="O64" s="43">
        <v>0.58333333333333337</v>
      </c>
      <c r="P64" s="43">
        <v>0.70833333333333337</v>
      </c>
      <c r="Q64" s="43">
        <f>Planejamento2025[[#This Row],[Saída]]-Planejamento2025[[#This Row],[Entrada]]</f>
        <v>0.125</v>
      </c>
      <c r="R64" s="130">
        <f>Planejamento2025[[#This Row],[Carga Horária]]/Q64</f>
        <v>12</v>
      </c>
      <c r="S64" s="44">
        <v>45876</v>
      </c>
      <c r="T64" s="44">
        <v>45953</v>
      </c>
      <c r="U64" s="338" t="s">
        <v>279</v>
      </c>
      <c r="V64" s="339">
        <v>32</v>
      </c>
      <c r="W64" s="340">
        <v>47.5</v>
      </c>
      <c r="X64" s="341">
        <f>IF(Planejamento2025[[#This Row],[Fonte Pagadora]]="Anna de Moura",(W64*H64*24),"R$ 0,00")</f>
        <v>1710</v>
      </c>
      <c r="Y64" s="341"/>
      <c r="Z64" s="335">
        <f>INDEX(Tabela1[Valor RH / Executado],MATCH(Planejamento2025[[#This Row],[ID]],Tabela1[ID],0))</f>
        <v>0</v>
      </c>
      <c r="AA64" s="184">
        <f>INDEX(Tabela1[Valor Insumo / Executado],MATCH(Planejamento2025[[#This Row],[ID]],Tabela1[ID],0))</f>
        <v>0</v>
      </c>
      <c r="AB64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4" s="338" t="s">
        <v>5</v>
      </c>
      <c r="AD64" s="338" t="s">
        <v>5</v>
      </c>
      <c r="AE6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4" s="419" t="s">
        <v>417</v>
      </c>
      <c r="AG64" s="347"/>
    </row>
    <row r="65" spans="1:33" s="148" customFormat="1" ht="30" customHeight="1" x14ac:dyDescent="0.25">
      <c r="A6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PacOff_T5</v>
      </c>
      <c r="B65" s="337" t="s">
        <v>78</v>
      </c>
      <c r="C65" s="47" t="s">
        <v>377</v>
      </c>
      <c r="D65" s="47" t="s">
        <v>230</v>
      </c>
      <c r="E65" s="337" t="s">
        <v>74</v>
      </c>
      <c r="F65" s="337" t="s">
        <v>397</v>
      </c>
      <c r="G65" s="337" t="s">
        <v>353</v>
      </c>
      <c r="H65" s="43">
        <v>4</v>
      </c>
      <c r="I65" s="43"/>
      <c r="J65" s="43"/>
      <c r="K65" s="43" t="s">
        <v>100</v>
      </c>
      <c r="L65" s="43"/>
      <c r="M65" s="43" t="s">
        <v>100</v>
      </c>
      <c r="N65" s="43" t="str">
        <f t="shared" si="1"/>
        <v>1101011</v>
      </c>
      <c r="O65" s="43">
        <v>0.54166666666666663</v>
      </c>
      <c r="P65" s="43">
        <v>0.70833333333333337</v>
      </c>
      <c r="Q65" s="43">
        <f>Planejamento2025[[#This Row],[Saída]]-Planejamento2025[[#This Row],[Entrada]]</f>
        <v>0.16666666666666674</v>
      </c>
      <c r="R65" s="130">
        <f>Planejamento2025[[#This Row],[Carga Horária]]/Q65</f>
        <v>23.999999999999989</v>
      </c>
      <c r="S65" s="44">
        <v>45889</v>
      </c>
      <c r="T65" s="44">
        <v>45989</v>
      </c>
      <c r="U65" s="338" t="s">
        <v>378</v>
      </c>
      <c r="V65" s="339">
        <v>14</v>
      </c>
      <c r="W65" s="348">
        <v>0</v>
      </c>
      <c r="X65" s="341" t="str">
        <f>IF(Planejamento2025[[#This Row],[Fonte Pagadora]]="Anna de Moura",(W65*H65*24),"R$ 0,00")</f>
        <v>R$ 0,00</v>
      </c>
      <c r="Y65" s="349"/>
      <c r="Z65" s="335">
        <f>INDEX(Tabela1[Valor RH / Executado],MATCH(Planejamento2025[[#This Row],[ID]],Tabela1[ID],0))</f>
        <v>0</v>
      </c>
      <c r="AA65" s="184">
        <f>INDEX(Tabela1[Valor Insumo / Executado],MATCH(Planejamento2025[[#This Row],[ID]],Tabela1[ID],0))</f>
        <v>0</v>
      </c>
      <c r="AB65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5" s="338" t="s">
        <v>15</v>
      </c>
      <c r="AD65" s="338" t="s">
        <v>15</v>
      </c>
      <c r="AE6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5" s="419" t="s">
        <v>423</v>
      </c>
      <c r="AG65" s="347"/>
    </row>
    <row r="66" spans="1:33" s="148" customFormat="1" ht="30" customHeight="1" x14ac:dyDescent="0.25">
      <c r="A6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SalFri_T1</v>
      </c>
      <c r="B66" s="337" t="s">
        <v>359</v>
      </c>
      <c r="C66" s="47" t="s">
        <v>137</v>
      </c>
      <c r="D66" s="47" t="s">
        <v>228</v>
      </c>
      <c r="E66" s="337" t="s">
        <v>213</v>
      </c>
      <c r="F66" s="337" t="s">
        <v>397</v>
      </c>
      <c r="G66" s="337" t="s">
        <v>186</v>
      </c>
      <c r="H66" s="43">
        <v>0.75</v>
      </c>
      <c r="I66" s="43"/>
      <c r="J66" s="43" t="s">
        <v>100</v>
      </c>
      <c r="K66" s="43" t="s">
        <v>100</v>
      </c>
      <c r="L66" s="43"/>
      <c r="M66" s="43"/>
      <c r="N66" s="43" t="str">
        <f t="shared" ref="N66:N79" si="2">IF(I66="X","0","1")&amp;IF(J66="X","0","1")&amp;IF(K66="X","0","1")&amp;IF(L66="X","0","1")&amp;IF(M66="X","0","1")&amp;"11"</f>
        <v>1001111</v>
      </c>
      <c r="O66" s="43">
        <v>0.79166666666666663</v>
      </c>
      <c r="P66" s="43">
        <v>0.91666666666666663</v>
      </c>
      <c r="Q66" s="43">
        <f>Planejamento2025[[#This Row],[Saída]]-Planejamento2025[[#This Row],[Entrada]]</f>
        <v>0.125</v>
      </c>
      <c r="R66" s="130">
        <f>Planejamento2025[[#This Row],[Carga Horária]]/Q66</f>
        <v>6</v>
      </c>
      <c r="S66" s="44">
        <v>45902</v>
      </c>
      <c r="T66" s="44">
        <v>45917</v>
      </c>
      <c r="U66" s="338" t="s">
        <v>240</v>
      </c>
      <c r="V66" s="339">
        <v>16</v>
      </c>
      <c r="W66" s="348">
        <v>47.5</v>
      </c>
      <c r="X66" s="341">
        <f>IF(Planejamento2025[[#This Row],[Fonte Pagadora]]="Anna de Moura",(W66*H66*24),"R$ 0,00")</f>
        <v>855</v>
      </c>
      <c r="Y66" s="349"/>
      <c r="Z66" s="335">
        <f>INDEX(Tabela1[Valor RH / Executado],MATCH(Planejamento2025[[#This Row],[ID]],Tabela1[ID],0))</f>
        <v>0</v>
      </c>
      <c r="AA66" s="184">
        <f>INDEX(Tabela1[Valor Insumo / Executado],MATCH(Planejamento2025[[#This Row],[ID]],Tabela1[ID],0))</f>
        <v>0</v>
      </c>
      <c r="AB66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6" s="338" t="s">
        <v>5</v>
      </c>
      <c r="AD66" s="338" t="s">
        <v>5</v>
      </c>
      <c r="AE6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6" s="419" t="s">
        <v>425</v>
      </c>
      <c r="AG66" s="347"/>
    </row>
    <row r="67" spans="1:33" s="326" customFormat="1" ht="30" customHeight="1" x14ac:dyDescent="0.25">
      <c r="A67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PowBI_T2</v>
      </c>
      <c r="B67" s="337" t="s">
        <v>358</v>
      </c>
      <c r="C67" s="47" t="s">
        <v>138</v>
      </c>
      <c r="D67" s="47" t="s">
        <v>228</v>
      </c>
      <c r="E67" s="337" t="s">
        <v>74</v>
      </c>
      <c r="F67" s="337" t="s">
        <v>397</v>
      </c>
      <c r="G67" s="337" t="s">
        <v>356</v>
      </c>
      <c r="H67" s="43">
        <v>1.3333333333333333</v>
      </c>
      <c r="I67" s="43"/>
      <c r="J67" s="43" t="s">
        <v>100</v>
      </c>
      <c r="K67" s="43"/>
      <c r="L67" s="43" t="s">
        <v>100</v>
      </c>
      <c r="M67" s="43"/>
      <c r="N67" s="43" t="str">
        <f t="shared" si="2"/>
        <v>1010111</v>
      </c>
      <c r="O67" s="43">
        <v>0.79166666666666663</v>
      </c>
      <c r="P67" s="43">
        <v>0.91666666666666663</v>
      </c>
      <c r="Q67" s="43">
        <f>Planejamento2025[[#This Row],[Saída]]-Planejamento2025[[#This Row],[Entrada]]</f>
        <v>0.125</v>
      </c>
      <c r="R67" s="130">
        <f>Planejamento2025[[#This Row],[Carga Horária]]/Q67</f>
        <v>10.666666666666666</v>
      </c>
      <c r="S67" s="44">
        <v>45909</v>
      </c>
      <c r="T67" s="44">
        <f>WORKDAY.INTL(S67,R67,Planejamento2025[[#This Row],[Padrão]],Calendário!$R$4:$R$35)</f>
        <v>45944</v>
      </c>
      <c r="U67" s="338" t="s">
        <v>199</v>
      </c>
      <c r="V67" s="339">
        <v>16</v>
      </c>
      <c r="W67" s="348"/>
      <c r="X67" s="341" t="str">
        <f>IF(Planejamento2025[[#This Row],[Fonte Pagadora]]="Anna de Moura",(W67*H67*24),"R$ 0,00")</f>
        <v>R$ 0,00</v>
      </c>
      <c r="Y67" s="349"/>
      <c r="Z67" s="335">
        <f>INDEX(Tabela1[Valor RH / Executado],MATCH(Planejamento2025[[#This Row],[ID]],Tabela1[ID],0))</f>
        <v>0</v>
      </c>
      <c r="AA67" s="184">
        <f>INDEX(Tabela1[Valor Insumo / Executado],MATCH(Planejamento2025[[#This Row],[ID]],Tabela1[ID],0))</f>
        <v>0</v>
      </c>
      <c r="AB67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7" s="338" t="s">
        <v>15</v>
      </c>
      <c r="AD67" s="338" t="s">
        <v>15</v>
      </c>
      <c r="AE6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7" s="419"/>
      <c r="AG67" s="347"/>
    </row>
    <row r="68" spans="1:33" s="326" customFormat="1" ht="30" customHeight="1" x14ac:dyDescent="0.25">
      <c r="A6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Elade _T1</v>
      </c>
      <c r="B68" s="337" t="s">
        <v>349</v>
      </c>
      <c r="C68" s="47" t="s">
        <v>137</v>
      </c>
      <c r="D68" s="47" t="s">
        <v>228</v>
      </c>
      <c r="E68" s="337" t="s">
        <v>90</v>
      </c>
      <c r="F68" s="337" t="s">
        <v>397</v>
      </c>
      <c r="G68" s="337" t="s">
        <v>350</v>
      </c>
      <c r="H68" s="43">
        <v>1</v>
      </c>
      <c r="I68" s="43"/>
      <c r="J68" s="43"/>
      <c r="K68" s="43" t="s">
        <v>100</v>
      </c>
      <c r="L68" s="43"/>
      <c r="M68" s="43"/>
      <c r="N68" s="43" t="str">
        <f t="shared" si="2"/>
        <v>1101111</v>
      </c>
      <c r="O68" s="43">
        <v>0.79166666666666663</v>
      </c>
      <c r="P68" s="43">
        <v>0.91666666666666663</v>
      </c>
      <c r="Q68" s="43">
        <f>Planejamento2025[[#This Row],[Saída]]-Planejamento2025[[#This Row],[Entrada]]</f>
        <v>0.125</v>
      </c>
      <c r="R68" s="130">
        <f>Planejamento2025[[#This Row],[Carga Horária]]/Q68</f>
        <v>8</v>
      </c>
      <c r="S68" s="44">
        <v>45917</v>
      </c>
      <c r="T68" s="44">
        <v>45966</v>
      </c>
      <c r="U68" s="338" t="s">
        <v>198</v>
      </c>
      <c r="V68" s="339">
        <v>16</v>
      </c>
      <c r="W68" s="348"/>
      <c r="X68" s="341" t="str">
        <f>IF(Planejamento2025[[#This Row],[Fonte Pagadora]]="Anna de Moura",(W68*H68*24),"R$ 0,00")</f>
        <v>R$ 0,00</v>
      </c>
      <c r="Y68" s="349"/>
      <c r="Z68" s="335">
        <f>INDEX(Tabela1[Valor RH / Executado],MATCH(Planejamento2025[[#This Row],[ID]],Tabela1[ID],0))</f>
        <v>0</v>
      </c>
      <c r="AA68" s="184">
        <f>INDEX(Tabela1[Valor Insumo / Executado],MATCH(Planejamento2025[[#This Row],[ID]],Tabela1[ID],0))</f>
        <v>0</v>
      </c>
      <c r="AB6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8" s="338" t="s">
        <v>15</v>
      </c>
      <c r="AD68" s="338" t="s">
        <v>15</v>
      </c>
      <c r="AE6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8" s="419"/>
      <c r="AG68" s="347"/>
    </row>
    <row r="69" spans="1:33" s="326" customFormat="1" ht="30" customHeight="1" x14ac:dyDescent="0.25">
      <c r="A69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Kai _T1</v>
      </c>
      <c r="B69" s="337" t="s">
        <v>355</v>
      </c>
      <c r="C69" s="47" t="s">
        <v>137</v>
      </c>
      <c r="D69" s="47" t="s">
        <v>230</v>
      </c>
      <c r="E69" s="337" t="s">
        <v>76</v>
      </c>
      <c r="F69" s="337" t="s">
        <v>397</v>
      </c>
      <c r="G69" s="337" t="s">
        <v>353</v>
      </c>
      <c r="H69" s="43">
        <v>0.66666666666666663</v>
      </c>
      <c r="I69" s="43"/>
      <c r="J69" s="43" t="s">
        <v>100</v>
      </c>
      <c r="K69" s="43"/>
      <c r="L69" s="43" t="s">
        <v>100</v>
      </c>
      <c r="M69" s="43"/>
      <c r="N69" s="43" t="str">
        <f t="shared" si="2"/>
        <v>1010111</v>
      </c>
      <c r="O69" s="43">
        <v>0.54166666666666663</v>
      </c>
      <c r="P69" s="43">
        <v>0.70833333333333337</v>
      </c>
      <c r="Q69" s="43">
        <f>Planejamento2025[[#This Row],[Saída]]-Planejamento2025[[#This Row],[Entrada]]</f>
        <v>0.16666666666666674</v>
      </c>
      <c r="R69" s="130">
        <f>Planejamento2025[[#This Row],[Carga Horária]]/Q69</f>
        <v>3.9999999999999982</v>
      </c>
      <c r="S69" s="44">
        <v>45930</v>
      </c>
      <c r="T69" s="44">
        <f>WORKDAY.INTL(S69,R69,Planejamento2025[[#This Row],[Padrão]],Calendário!$R$4:$R$35)</f>
        <v>45939</v>
      </c>
      <c r="U69" s="338" t="s">
        <v>199</v>
      </c>
      <c r="V69" s="339">
        <v>16</v>
      </c>
      <c r="W69" s="348"/>
      <c r="X69" s="341" t="str">
        <f>IF(Planejamento2025[[#This Row],[Fonte Pagadora]]="Anna de Moura",(W69*H69*24),"R$ 0,00")</f>
        <v>R$ 0,00</v>
      </c>
      <c r="Y69" s="349"/>
      <c r="Z69" s="335">
        <f>INDEX(Tabela1[Valor RH / Executado],MATCH(Planejamento2025[[#This Row],[ID]],Tabela1[ID],0))</f>
        <v>0</v>
      </c>
      <c r="AA69" s="184">
        <f>INDEX(Tabela1[Valor Insumo / Executado],MATCH(Planejamento2025[[#This Row],[ID]],Tabela1[ID],0))</f>
        <v>0</v>
      </c>
      <c r="AB69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9" s="338" t="s">
        <v>15</v>
      </c>
      <c r="AD69" s="338" t="s">
        <v>15</v>
      </c>
      <c r="AE6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9" s="419"/>
      <c r="AG69" s="347"/>
    </row>
    <row r="70" spans="1:33" s="148" customFormat="1" ht="30" customHeight="1" x14ac:dyDescent="0.25">
      <c r="A70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Piz _T2</v>
      </c>
      <c r="B70" s="337" t="s">
        <v>266</v>
      </c>
      <c r="C70" s="47" t="s">
        <v>138</v>
      </c>
      <c r="D70" s="47" t="s">
        <v>228</v>
      </c>
      <c r="E70" s="337" t="s">
        <v>213</v>
      </c>
      <c r="F70" s="337" t="s">
        <v>397</v>
      </c>
      <c r="G70" s="337" t="s">
        <v>186</v>
      </c>
      <c r="H70" s="43">
        <v>0.75</v>
      </c>
      <c r="I70" s="43"/>
      <c r="J70" s="43" t="s">
        <v>100</v>
      </c>
      <c r="K70" s="43" t="s">
        <v>100</v>
      </c>
      <c r="L70" s="43"/>
      <c r="M70" s="43"/>
      <c r="N70" s="43" t="str">
        <f t="shared" si="2"/>
        <v>1001111</v>
      </c>
      <c r="O70" s="43">
        <v>0.79166666666666663</v>
      </c>
      <c r="P70" s="43">
        <v>0.91666666666666663</v>
      </c>
      <c r="Q70" s="43">
        <f>Planejamento2025[[#This Row],[Saída]]-Planejamento2025[[#This Row],[Entrada]]</f>
        <v>0.125</v>
      </c>
      <c r="R70" s="130">
        <f>Planejamento2025[[#This Row],[Carga Horária]]/Q70</f>
        <v>6</v>
      </c>
      <c r="S70" s="44">
        <v>45931</v>
      </c>
      <c r="T70" s="44">
        <v>45952</v>
      </c>
      <c r="U70" s="338" t="s">
        <v>198</v>
      </c>
      <c r="V70" s="339">
        <v>16</v>
      </c>
      <c r="W70" s="348">
        <v>47.5</v>
      </c>
      <c r="X70" s="341">
        <f>IF(Planejamento2025[[#This Row],[Fonte Pagadora]]="Anna de Moura",(W70*H70*24),"R$ 0,00")</f>
        <v>855</v>
      </c>
      <c r="Y70" s="349"/>
      <c r="Z70" s="335">
        <f>INDEX(Tabela1[Valor RH / Executado],MATCH(Planejamento2025[[#This Row],[ID]],Tabela1[ID],0))</f>
        <v>0</v>
      </c>
      <c r="AA70" s="184">
        <f>INDEX(Tabela1[Valor Insumo / Executado],MATCH(Planejamento2025[[#This Row],[ID]],Tabela1[ID],0))</f>
        <v>0</v>
      </c>
      <c r="AB7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0" s="338" t="s">
        <v>5</v>
      </c>
      <c r="AD70" s="338" t="s">
        <v>5</v>
      </c>
      <c r="AE7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0" s="419"/>
      <c r="AG70" s="347"/>
    </row>
    <row r="71" spans="1:33" s="148" customFormat="1" ht="30" customHeight="1" x14ac:dyDescent="0.25">
      <c r="A71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Excno _T2</v>
      </c>
      <c r="B71" s="337" t="s">
        <v>361</v>
      </c>
      <c r="C71" s="47" t="s">
        <v>138</v>
      </c>
      <c r="D71" s="47" t="s">
        <v>228</v>
      </c>
      <c r="E71" s="337" t="s">
        <v>76</v>
      </c>
      <c r="F71" s="337" t="s">
        <v>397</v>
      </c>
      <c r="G71" s="337" t="s">
        <v>188</v>
      </c>
      <c r="H71" s="43">
        <v>0.83333333333333337</v>
      </c>
      <c r="I71" s="43"/>
      <c r="J71" s="43" t="s">
        <v>100</v>
      </c>
      <c r="K71" s="43"/>
      <c r="L71" s="43" t="s">
        <v>100</v>
      </c>
      <c r="M71" s="43"/>
      <c r="N71" s="43" t="str">
        <f t="shared" si="2"/>
        <v>1010111</v>
      </c>
      <c r="O71" s="43">
        <v>0.79166666666666663</v>
      </c>
      <c r="P71" s="43">
        <v>0.91666666666666663</v>
      </c>
      <c r="Q71" s="43">
        <f>Planejamento2025[[#This Row],[Saída]]-Planejamento2025[[#This Row],[Entrada]]</f>
        <v>0.125</v>
      </c>
      <c r="R71" s="130">
        <f>Planejamento2025[[#This Row],[Carga Horária]]/Q71</f>
        <v>6.666666666666667</v>
      </c>
      <c r="S71" s="44">
        <v>45937</v>
      </c>
      <c r="T71" s="44">
        <f>WORKDAY.INTL(S71,R71,Planejamento2025[[#This Row],[Padrão]],Calendário!$R$4:$R$35)</f>
        <v>45958</v>
      </c>
      <c r="U71" s="338" t="s">
        <v>199</v>
      </c>
      <c r="V71" s="339">
        <v>20</v>
      </c>
      <c r="W71" s="348">
        <v>47.5</v>
      </c>
      <c r="X71" s="341">
        <f>IF(Planejamento2025[[#This Row],[Fonte Pagadora]]="Anna de Moura",(W71*H71*24),"R$ 0,00")</f>
        <v>950</v>
      </c>
      <c r="Y71" s="349"/>
      <c r="Z71" s="335">
        <f>INDEX(Tabela1[Valor RH / Executado],MATCH(Planejamento2025[[#This Row],[ID]],Tabela1[ID],0))</f>
        <v>0</v>
      </c>
      <c r="AA71" s="184">
        <f>INDEX(Tabela1[Valor Insumo / Executado],MATCH(Planejamento2025[[#This Row],[ID]],Tabela1[ID],0))</f>
        <v>0</v>
      </c>
      <c r="AB71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1" s="338" t="s">
        <v>5</v>
      </c>
      <c r="AD71" s="338" t="s">
        <v>15</v>
      </c>
      <c r="AE7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71" s="419"/>
      <c r="AG71" s="347"/>
    </row>
    <row r="72" spans="1:33" s="326" customFormat="1" ht="30" customHeight="1" x14ac:dyDescent="0.25">
      <c r="A7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_T3</v>
      </c>
      <c r="B72" s="337" t="s">
        <v>86</v>
      </c>
      <c r="C72" s="47" t="s">
        <v>252</v>
      </c>
      <c r="D72" s="47" t="s">
        <v>230</v>
      </c>
      <c r="E72" s="337"/>
      <c r="F72" s="337" t="s">
        <v>397</v>
      </c>
      <c r="G72" s="337" t="s">
        <v>251</v>
      </c>
      <c r="H72" s="43">
        <v>1</v>
      </c>
      <c r="I72" s="43"/>
      <c r="J72" s="43"/>
      <c r="K72" s="43" t="s">
        <v>100</v>
      </c>
      <c r="L72" s="43"/>
      <c r="M72" s="43" t="s">
        <v>100</v>
      </c>
      <c r="N72" s="43" t="str">
        <f t="shared" si="2"/>
        <v>1101011</v>
      </c>
      <c r="O72" s="43">
        <v>0.54166666666666663</v>
      </c>
      <c r="P72" s="43">
        <v>0.70833333333333337</v>
      </c>
      <c r="Q72" s="43">
        <f>Planejamento2025[[#This Row],[Saída]]-Planejamento2025[[#This Row],[Entrada]]</f>
        <v>0.16666666666666674</v>
      </c>
      <c r="R72" s="130">
        <f>Planejamento2025[[#This Row],[Carga Horária]]/Q72</f>
        <v>5.9999999999999973</v>
      </c>
      <c r="S72" s="44">
        <v>45940</v>
      </c>
      <c r="T72" s="44">
        <v>45959</v>
      </c>
      <c r="U72" s="338" t="s">
        <v>199</v>
      </c>
      <c r="V72" s="339">
        <v>20</v>
      </c>
      <c r="W72" s="348"/>
      <c r="X72" s="341" t="str">
        <f>IF(Planejamento2025[[#This Row],[Fonte Pagadora]]="Anna de Moura",(W72*H72*24),"R$ 0,00")</f>
        <v>R$ 0,00</v>
      </c>
      <c r="Y72" s="349"/>
      <c r="Z72" s="335">
        <f>INDEX(Tabela1[Valor RH / Executado],MATCH(Planejamento2025[[#This Row],[ID]],Tabela1[ID],0))</f>
        <v>0</v>
      </c>
      <c r="AA72" s="184">
        <f>INDEX(Tabela1[Valor Insumo / Executado],MATCH(Planejamento2025[[#This Row],[ID]],Tabela1[ID],0))</f>
        <v>0</v>
      </c>
      <c r="AB72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2" s="338" t="s">
        <v>15</v>
      </c>
      <c r="AD72" s="338" t="s">
        <v>15</v>
      </c>
      <c r="AE7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2" s="419"/>
      <c r="AG72" s="347"/>
    </row>
    <row r="73" spans="1:33" s="326" customFormat="1" ht="30" customHeight="1" x14ac:dyDescent="0.25">
      <c r="A73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AnáTer_T1</v>
      </c>
      <c r="B73" s="337" t="s">
        <v>243</v>
      </c>
      <c r="C73" s="47" t="s">
        <v>137</v>
      </c>
      <c r="D73" s="47" t="s">
        <v>228</v>
      </c>
      <c r="E73" s="337" t="s">
        <v>90</v>
      </c>
      <c r="F73" s="337" t="s">
        <v>397</v>
      </c>
      <c r="G73" s="337" t="s">
        <v>348</v>
      </c>
      <c r="H73" s="43">
        <v>0.66666666666666663</v>
      </c>
      <c r="I73" s="43"/>
      <c r="J73" s="43" t="s">
        <v>100</v>
      </c>
      <c r="K73" s="43" t="s">
        <v>100</v>
      </c>
      <c r="L73" s="43" t="s">
        <v>100</v>
      </c>
      <c r="M73" s="43"/>
      <c r="N73" s="43" t="str">
        <f t="shared" si="2"/>
        <v>1000111</v>
      </c>
      <c r="O73" s="43">
        <v>0.78125</v>
      </c>
      <c r="P73" s="43">
        <v>0.91666666666666663</v>
      </c>
      <c r="Q73" s="43">
        <f>Planejamento2025[[#This Row],[Saída]]-Planejamento2025[[#This Row],[Entrada]]</f>
        <v>0.13541666666666663</v>
      </c>
      <c r="R73" s="130">
        <f>Planejamento2025[[#This Row],[Carga Horária]]/Q73</f>
        <v>4.9230769230769242</v>
      </c>
      <c r="S73" s="44">
        <v>45944</v>
      </c>
      <c r="T73" s="44">
        <f>WORKDAY.INTL(S73,R73,Planejamento2025[[#This Row],[Padrão]],Calendário!$R$4:$R$35)</f>
        <v>45953</v>
      </c>
      <c r="U73" s="338" t="s">
        <v>198</v>
      </c>
      <c r="V73" s="339">
        <v>16</v>
      </c>
      <c r="W73" s="348"/>
      <c r="X73" s="341" t="str">
        <f>IF(Planejamento2025[[#This Row],[Fonte Pagadora]]="Anna de Moura",(W73*H73*24),"R$ 0,00")</f>
        <v>R$ 0,00</v>
      </c>
      <c r="Y73" s="349"/>
      <c r="Z73" s="335">
        <f>INDEX(Tabela1[Valor RH / Executado],MATCH(Planejamento2025[[#This Row],[ID]],Tabela1[ID],0))</f>
        <v>0</v>
      </c>
      <c r="AA73" s="184">
        <f>INDEX(Tabela1[Valor Insumo / Executado],MATCH(Planejamento2025[[#This Row],[ID]],Tabela1[ID],0))</f>
        <v>0</v>
      </c>
      <c r="AB7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3" s="338" t="s">
        <v>15</v>
      </c>
      <c r="AD73" s="338" t="s">
        <v>15</v>
      </c>
      <c r="AE7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3" s="419"/>
      <c r="AG73" s="347"/>
    </row>
    <row r="74" spans="1:33" s="326" customFormat="1" ht="30" customHeight="1" x14ac:dyDescent="0.25">
      <c r="A74" s="337" t="s">
        <v>380</v>
      </c>
      <c r="B74" s="337" t="s">
        <v>379</v>
      </c>
      <c r="C74" s="47" t="s">
        <v>137</v>
      </c>
      <c r="D74" s="47" t="s">
        <v>228</v>
      </c>
      <c r="E74" s="337"/>
      <c r="F74" s="337" t="s">
        <v>397</v>
      </c>
      <c r="G74" s="337" t="s">
        <v>348</v>
      </c>
      <c r="H74" s="43">
        <v>0.33333333333333331</v>
      </c>
      <c r="I74" s="43"/>
      <c r="J74" s="43" t="s">
        <v>100</v>
      </c>
      <c r="K74" s="43" t="s">
        <v>100</v>
      </c>
      <c r="L74" s="43" t="s">
        <v>100</v>
      </c>
      <c r="M74" s="43"/>
      <c r="N74" s="43" t="str">
        <f t="shared" si="2"/>
        <v>1000111</v>
      </c>
      <c r="O74" s="43">
        <v>0.79166666666666663</v>
      </c>
      <c r="P74" s="43">
        <v>0.91666666666666663</v>
      </c>
      <c r="Q74" s="43">
        <f>Planejamento2025[[#This Row],[Saída]]-Planejamento2025[[#This Row],[Entrada]]</f>
        <v>0.125</v>
      </c>
      <c r="R74" s="130">
        <f>Planejamento2025[[#This Row],[Carga Horária]]/Q74</f>
        <v>2.6666666666666665</v>
      </c>
      <c r="S74" s="44">
        <v>45958</v>
      </c>
      <c r="T74" s="44">
        <f>WORKDAY.INTL(S74,R74,Planejamento2025[[#This Row],[Padrão]],Calendário!$R$4:$R$35)</f>
        <v>45960</v>
      </c>
      <c r="U74" s="338" t="s">
        <v>198</v>
      </c>
      <c r="V74" s="339">
        <v>16</v>
      </c>
      <c r="W74" s="348"/>
      <c r="X74" s="341" t="str">
        <f>IF(Planejamento2025[[#This Row],[Fonte Pagadora]]="Anna de Moura",(W74*H74*24),"R$ 0,00")</f>
        <v>R$ 0,00</v>
      </c>
      <c r="Y74" s="349"/>
      <c r="Z74" s="335">
        <f>INDEX(Tabela1[Valor RH / Executado],MATCH(Planejamento2025[[#This Row],[ID]],Tabela1[ID],0))</f>
        <v>0</v>
      </c>
      <c r="AA74" s="184">
        <f>INDEX(Tabela1[Valor Insumo / Executado],MATCH(Planejamento2025[[#This Row],[ID]],Tabela1[ID],0))</f>
        <v>0</v>
      </c>
      <c r="AB74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4" s="338" t="s">
        <v>15</v>
      </c>
      <c r="AD74" s="338" t="s">
        <v>15</v>
      </c>
      <c r="AE7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4" s="419"/>
      <c r="AG74" s="347"/>
    </row>
    <row r="75" spans="1:33" s="148" customFormat="1" ht="30" customHeight="1" x14ac:dyDescent="0.25">
      <c r="A7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IngAva_T1</v>
      </c>
      <c r="B75" s="337" t="s">
        <v>280</v>
      </c>
      <c r="C75" s="47" t="s">
        <v>137</v>
      </c>
      <c r="D75" s="47" t="s">
        <v>230</v>
      </c>
      <c r="E75" s="337" t="s">
        <v>182</v>
      </c>
      <c r="F75" s="337" t="s">
        <v>397</v>
      </c>
      <c r="G75" s="337" t="s">
        <v>195</v>
      </c>
      <c r="H75" s="43">
        <v>0.625</v>
      </c>
      <c r="I75" s="43"/>
      <c r="J75" s="43"/>
      <c r="K75" s="43"/>
      <c r="L75" s="43" t="s">
        <v>100</v>
      </c>
      <c r="M75" s="43"/>
      <c r="N75" s="43" t="str">
        <f t="shared" si="2"/>
        <v>1110111</v>
      </c>
      <c r="O75" s="43">
        <v>0.58333333333333337</v>
      </c>
      <c r="P75" s="43">
        <v>0.70833333333333337</v>
      </c>
      <c r="Q75" s="43">
        <f>Planejamento2025[[#This Row],[Saída]]-Planejamento2025[[#This Row],[Entrada]]</f>
        <v>0.125</v>
      </c>
      <c r="R75" s="130">
        <f>Planejamento2025[[#This Row],[Carga Horária]]/Q75</f>
        <v>5</v>
      </c>
      <c r="S75" s="44">
        <v>45960</v>
      </c>
      <c r="T75" s="44">
        <v>45995</v>
      </c>
      <c r="U75" s="338" t="s">
        <v>200</v>
      </c>
      <c r="V75" s="339">
        <v>32</v>
      </c>
      <c r="W75" s="348">
        <v>47.5</v>
      </c>
      <c r="X75" s="341">
        <f>IF(Planejamento2025[[#This Row],[Fonte Pagadora]]="Anna de Moura",(W75*H75*24),"R$ 0,00")</f>
        <v>712.5</v>
      </c>
      <c r="Y75" s="349"/>
      <c r="Z75" s="335">
        <f>INDEX(Tabela1[Valor RH / Executado],MATCH(Planejamento2025[[#This Row],[ID]],Tabela1[ID],0))</f>
        <v>0</v>
      </c>
      <c r="AA75" s="184">
        <f>INDEX(Tabela1[Valor Insumo / Executado],MATCH(Planejamento2025[[#This Row],[ID]],Tabela1[ID],0))</f>
        <v>0</v>
      </c>
      <c r="AB75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5" s="338" t="s">
        <v>5</v>
      </c>
      <c r="AD75" s="338" t="s">
        <v>5</v>
      </c>
      <c r="AE7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5" s="419"/>
      <c r="AG75" s="347"/>
    </row>
    <row r="76" spans="1:33" s="148" customFormat="1" ht="30" customHeight="1" x14ac:dyDescent="0.25">
      <c r="A7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Pan _T1</v>
      </c>
      <c r="B76" s="337" t="s">
        <v>342</v>
      </c>
      <c r="C76" s="47" t="s">
        <v>137</v>
      </c>
      <c r="D76" s="47" t="s">
        <v>228</v>
      </c>
      <c r="E76" s="337" t="s">
        <v>213</v>
      </c>
      <c r="F76" s="337" t="s">
        <v>397</v>
      </c>
      <c r="G76" s="337" t="s">
        <v>186</v>
      </c>
      <c r="H76" s="43">
        <v>0.75</v>
      </c>
      <c r="I76" s="43"/>
      <c r="J76" s="43" t="s">
        <v>100</v>
      </c>
      <c r="K76" s="43" t="s">
        <v>100</v>
      </c>
      <c r="L76" s="43"/>
      <c r="M76" s="43"/>
      <c r="N76" s="43" t="str">
        <f t="shared" si="2"/>
        <v>1001111</v>
      </c>
      <c r="O76" s="43">
        <v>0.79166666666666663</v>
      </c>
      <c r="P76" s="43">
        <v>0.91666666666666663</v>
      </c>
      <c r="Q76" s="43">
        <f>Planejamento2025[[#This Row],[Saída]]-Planejamento2025[[#This Row],[Entrada]]</f>
        <v>0.125</v>
      </c>
      <c r="R76" s="130">
        <f>Planejamento2025[[#This Row],[Carga Horária]]/Q76</f>
        <v>6</v>
      </c>
      <c r="S76" s="44">
        <v>45965</v>
      </c>
      <c r="T76" s="44">
        <v>45980</v>
      </c>
      <c r="U76" s="338" t="s">
        <v>198</v>
      </c>
      <c r="V76" s="339">
        <v>16</v>
      </c>
      <c r="W76" s="340">
        <v>47.5</v>
      </c>
      <c r="X76" s="341">
        <f>IF(Planejamento2025[[#This Row],[Fonte Pagadora]]="Anna de Moura",(W76*H76*24),"R$ 0,00")</f>
        <v>855</v>
      </c>
      <c r="Y76" s="341"/>
      <c r="Z76" s="335">
        <f>INDEX(Tabela1[Valor RH / Executado],MATCH(Planejamento2025[[#This Row],[ID]],Tabela1[ID],0))</f>
        <v>0</v>
      </c>
      <c r="AA76" s="184">
        <f>INDEX(Tabela1[Valor Insumo / Executado],MATCH(Planejamento2025[[#This Row],[ID]],Tabela1[ID],0))</f>
        <v>0</v>
      </c>
      <c r="AB76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6" s="338" t="s">
        <v>5</v>
      </c>
      <c r="AD76" s="338" t="s">
        <v>5</v>
      </c>
      <c r="AE7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6" s="419"/>
      <c r="AG76" s="347"/>
    </row>
    <row r="77" spans="1:33" s="326" customFormat="1" ht="30" customHeight="1" x14ac:dyDescent="0.25">
      <c r="A77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ExcBás_T2</v>
      </c>
      <c r="B77" s="337" t="s">
        <v>260</v>
      </c>
      <c r="C77" s="47" t="s">
        <v>138</v>
      </c>
      <c r="D77" s="47" t="s">
        <v>230</v>
      </c>
      <c r="E77" s="337" t="s">
        <v>74</v>
      </c>
      <c r="F77" s="337" t="s">
        <v>397</v>
      </c>
      <c r="G77" s="337" t="s">
        <v>353</v>
      </c>
      <c r="H77" s="43">
        <v>1.6666666666666667</v>
      </c>
      <c r="I77" s="43"/>
      <c r="J77" s="43" t="s">
        <v>100</v>
      </c>
      <c r="K77" s="43"/>
      <c r="L77" s="43" t="s">
        <v>100</v>
      </c>
      <c r="M77" s="43"/>
      <c r="N77" s="43" t="str">
        <f t="shared" si="2"/>
        <v>1010111</v>
      </c>
      <c r="O77" s="43">
        <v>0.54166666666666663</v>
      </c>
      <c r="P77" s="43">
        <v>0.70833333333333337</v>
      </c>
      <c r="Q77" s="43">
        <f>Planejamento2025[[#This Row],[Saída]]-Planejamento2025[[#This Row],[Entrada]]</f>
        <v>0.16666666666666674</v>
      </c>
      <c r="R77" s="130">
        <f>Planejamento2025[[#This Row],[Carga Horária]]/Q77</f>
        <v>9.9999999999999964</v>
      </c>
      <c r="S77" s="44">
        <v>45965</v>
      </c>
      <c r="T77" s="44">
        <f>WORKDAY.INTL(S77,R77,Planejamento2025[[#This Row],[Padrão]],Calendário!$R$4:$R$35)</f>
        <v>46000</v>
      </c>
      <c r="U77" s="338" t="s">
        <v>264</v>
      </c>
      <c r="V77" s="339">
        <v>16</v>
      </c>
      <c r="W77" s="340"/>
      <c r="X77" s="341" t="str">
        <f>IF(Planejamento2025[[#This Row],[Fonte Pagadora]]="Anna de Moura",(W77*H77*24),"R$ 0,00")</f>
        <v>R$ 0,00</v>
      </c>
      <c r="Y77" s="341"/>
      <c r="Z77" s="335">
        <f>INDEX(Tabela1[Valor RH / Executado],MATCH(Planejamento2025[[#This Row],[ID]],Tabela1[ID],0))</f>
        <v>0</v>
      </c>
      <c r="AA77" s="184">
        <f>INDEX(Tabela1[Valor Insumo / Executado],MATCH(Planejamento2025[[#This Row],[ID]],Tabela1[ID],0))</f>
        <v>0</v>
      </c>
      <c r="AB7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7" s="338" t="s">
        <v>15</v>
      </c>
      <c r="AD77" s="338" t="s">
        <v>15</v>
      </c>
      <c r="AE7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7" s="419"/>
      <c r="AG77" s="347"/>
    </row>
    <row r="78" spans="1:33" s="148" customFormat="1" ht="30" customHeight="1" x14ac:dyDescent="0.25">
      <c r="A7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SorArt_T2</v>
      </c>
      <c r="B78" s="337" t="s">
        <v>212</v>
      </c>
      <c r="C78" s="47" t="s">
        <v>138</v>
      </c>
      <c r="D78" s="47" t="s">
        <v>228</v>
      </c>
      <c r="E78" s="337" t="s">
        <v>213</v>
      </c>
      <c r="F78" s="337" t="s">
        <v>397</v>
      </c>
      <c r="G78" s="337" t="s">
        <v>186</v>
      </c>
      <c r="H78" s="43">
        <v>0.75</v>
      </c>
      <c r="I78" s="43"/>
      <c r="J78" s="43" t="s">
        <v>100</v>
      </c>
      <c r="K78" s="43" t="s">
        <v>100</v>
      </c>
      <c r="L78" s="43"/>
      <c r="M78" s="43"/>
      <c r="N78" s="43" t="str">
        <f t="shared" si="2"/>
        <v>1001111</v>
      </c>
      <c r="O78" s="43">
        <v>0.79166666666666663</v>
      </c>
      <c r="P78" s="43">
        <v>0.91666666666666663</v>
      </c>
      <c r="Q78" s="43">
        <f>Planejamento2025[[#This Row],[Saída]]-Planejamento2025[[#This Row],[Entrada]]</f>
        <v>0.125</v>
      </c>
      <c r="R78" s="130">
        <f>Planejamento2025[[#This Row],[Carga Horária]]/Q78</f>
        <v>6</v>
      </c>
      <c r="S78" s="44">
        <v>45986</v>
      </c>
      <c r="T78" s="44">
        <v>46001</v>
      </c>
      <c r="U78" s="338" t="s">
        <v>198</v>
      </c>
      <c r="V78" s="339">
        <v>16</v>
      </c>
      <c r="W78" s="348">
        <v>47.5</v>
      </c>
      <c r="X78" s="341">
        <f>IF(Planejamento2025[[#This Row],[Fonte Pagadora]]="Anna de Moura",(W78*H78*24),"R$ 0,00")</f>
        <v>855</v>
      </c>
      <c r="Y78" s="349"/>
      <c r="Z78" s="335">
        <f>INDEX(Tabela1[Valor RH / Executado],MATCH(Planejamento2025[[#This Row],[ID]],Tabela1[ID],0))</f>
        <v>0</v>
      </c>
      <c r="AA78" s="184">
        <f>INDEX(Tabela1[Valor Insumo / Executado],MATCH(Planejamento2025[[#This Row],[ID]],Tabela1[ID],0))</f>
        <v>0</v>
      </c>
      <c r="AB7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8" s="338" t="s">
        <v>5</v>
      </c>
      <c r="AD78" s="338" t="s">
        <v>5</v>
      </c>
      <c r="AE7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8" s="419"/>
      <c r="AG78" s="347"/>
    </row>
    <row r="79" spans="1:33" s="328" customFormat="1" ht="30" x14ac:dyDescent="0.25">
      <c r="A79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ManPro_T1</v>
      </c>
      <c r="B79" s="337" t="s">
        <v>256</v>
      </c>
      <c r="C79" s="47" t="s">
        <v>137</v>
      </c>
      <c r="D79" s="47" t="s">
        <v>228</v>
      </c>
      <c r="E79" s="337"/>
      <c r="F79" s="337" t="s">
        <v>397</v>
      </c>
      <c r="G79" s="337" t="s">
        <v>255</v>
      </c>
      <c r="H79" s="43">
        <v>0.83333333333333337</v>
      </c>
      <c r="I79" s="43"/>
      <c r="J79" s="43" t="s">
        <v>100</v>
      </c>
      <c r="K79" s="43" t="s">
        <v>100</v>
      </c>
      <c r="L79" s="43" t="s">
        <v>100</v>
      </c>
      <c r="M79" s="43"/>
      <c r="N79" s="43" t="str">
        <f t="shared" si="2"/>
        <v>1000111</v>
      </c>
      <c r="O79" s="43">
        <v>0.77777777777777779</v>
      </c>
      <c r="P79" s="43">
        <v>0.91666666666666663</v>
      </c>
      <c r="Q79" s="43">
        <f>Planejamento2025[[#This Row],[Saída]]-Planejamento2025[[#This Row],[Entrada]]</f>
        <v>0.13888888888888884</v>
      </c>
      <c r="R79" s="130">
        <f>Planejamento2025[[#This Row],[Carga Horária]]/Q79</f>
        <v>6.0000000000000027</v>
      </c>
      <c r="S79" s="44">
        <v>45993</v>
      </c>
      <c r="T79" s="44">
        <v>46002</v>
      </c>
      <c r="U79" s="338" t="s">
        <v>199</v>
      </c>
      <c r="V79" s="339">
        <v>16</v>
      </c>
      <c r="W79" s="340"/>
      <c r="X79" s="341" t="str">
        <f>IF(Planejamento2025[[#This Row],[Fonte Pagadora]]="Anna de Moura",(W79*H79*24),"R$ 0,00")</f>
        <v>R$ 0,00</v>
      </c>
      <c r="Y79" s="341"/>
      <c r="Z79" s="335">
        <f>INDEX(Tabela1[Valor RH / Executado],MATCH(Planejamento2025[[#This Row],[ID]],Tabela1[ID],0))</f>
        <v>0</v>
      </c>
      <c r="AA79" s="184">
        <f>INDEX(Tabela1[Valor Insumo / Executado],MATCH(Planejamento2025[[#This Row],[ID]],Tabela1[ID],0))</f>
        <v>0</v>
      </c>
      <c r="AB79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9" s="338" t="s">
        <v>15</v>
      </c>
      <c r="AD79" s="338" t="s">
        <v>15</v>
      </c>
      <c r="AE7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9" s="419"/>
      <c r="AG79" s="395"/>
    </row>
    <row r="80" spans="1:33" ht="18.75" x14ac:dyDescent="0.3">
      <c r="A80" s="208" t="s">
        <v>13</v>
      </c>
      <c r="B80" s="208"/>
      <c r="C80" s="352"/>
      <c r="D80" s="352"/>
      <c r="E80" s="208"/>
      <c r="F80" s="208"/>
      <c r="G80" s="208"/>
      <c r="H80" s="353"/>
      <c r="I80" s="354"/>
      <c r="J80" s="353"/>
      <c r="K80" s="353"/>
      <c r="L80" s="353"/>
      <c r="M80" s="353"/>
      <c r="N80" s="353"/>
      <c r="O80" s="353"/>
      <c r="P80" s="353"/>
      <c r="Q80" s="353"/>
      <c r="R80" s="355"/>
      <c r="S80" s="356"/>
      <c r="T80" s="357"/>
      <c r="U80" s="353"/>
      <c r="V80" s="353">
        <f>SUBTOTAL(109,Planejamento2025[Capac. Máx.])</f>
        <v>1384</v>
      </c>
      <c r="W80" s="358"/>
      <c r="X80" s="359">
        <f>SUBTOTAL(109,Planejamento2025[Valor Previsto])</f>
        <v>110597.5</v>
      </c>
      <c r="Y80" s="359">
        <f>SUBTOTAL(109,Planejamento2025[Contribuição])</f>
        <v>3570</v>
      </c>
      <c r="Z80" s="359" t="e">
        <f>SUBTOTAL(109,Planejamento2025[Valor RH])</f>
        <v>#N/A</v>
      </c>
      <c r="AA80" s="359" t="e">
        <f>SUBTOTAL(109,Planejamento2025[Valor Insumo])</f>
        <v>#N/A</v>
      </c>
      <c r="AB80" s="359">
        <f ca="1">SUBTOTAL(109,Planejamento2025[Status])</f>
        <v>0</v>
      </c>
      <c r="AC80" s="359">
        <f>SUBTOTAL(109,Planejamento2025[Fonte Pagadora])</f>
        <v>0</v>
      </c>
      <c r="AD80" s="359">
        <f>SUBTOTAL(109,Planejamento2025[Certificação])</f>
        <v>0</v>
      </c>
      <c r="AE80" s="415"/>
      <c r="AF80" s="421"/>
      <c r="AG80" s="411"/>
    </row>
    <row r="81" spans="1:30" x14ac:dyDescent="0.25">
      <c r="H81" s="361"/>
      <c r="I81" s="362"/>
      <c r="J81" s="361"/>
      <c r="K81" s="361"/>
      <c r="L81" s="361"/>
      <c r="M81" s="361"/>
      <c r="N81" s="361"/>
      <c r="O81" s="361"/>
      <c r="P81" s="361"/>
      <c r="Q81" s="361"/>
      <c r="R81" s="361"/>
      <c r="S81" s="363"/>
      <c r="T81" s="361"/>
      <c r="U81" s="361"/>
      <c r="V81" s="361"/>
      <c r="W81" s="361"/>
      <c r="X81" s="364"/>
      <c r="Y81" s="365"/>
      <c r="Z81" s="365"/>
      <c r="AA81" s="365"/>
      <c r="AB81" s="365"/>
      <c r="AC81" s="364"/>
      <c r="AD81" s="366"/>
    </row>
    <row r="82" spans="1:30" x14ac:dyDescent="0.25">
      <c r="A82" s="210"/>
      <c r="B82" s="210"/>
      <c r="C82" s="367"/>
      <c r="D82" s="367"/>
      <c r="E82" s="210"/>
      <c r="F82" s="210"/>
      <c r="G82" s="210"/>
      <c r="H82" s="210"/>
      <c r="I82" s="362"/>
      <c r="J82" s="361"/>
      <c r="K82" s="361"/>
      <c r="L82" s="361"/>
      <c r="M82" s="361"/>
      <c r="N82" s="361"/>
      <c r="O82" s="361"/>
      <c r="P82" s="361"/>
      <c r="Q82" s="361"/>
      <c r="R82" s="361"/>
      <c r="S82" s="363"/>
      <c r="T82" s="361"/>
      <c r="U82" s="361"/>
      <c r="V82" s="361"/>
      <c r="W82" s="361"/>
      <c r="X82" s="364"/>
      <c r="Y82" s="368"/>
      <c r="Z82" s="368"/>
      <c r="AA82" s="368"/>
      <c r="AB82" s="368"/>
      <c r="AC82" s="364"/>
      <c r="AD82" s="366"/>
    </row>
    <row r="83" spans="1:30" x14ac:dyDescent="0.25">
      <c r="A83" s="210"/>
    </row>
    <row r="84" spans="1:30" x14ac:dyDescent="0.25">
      <c r="A84" s="210"/>
    </row>
    <row r="85" spans="1:30" x14ac:dyDescent="0.25">
      <c r="A85" s="210"/>
    </row>
    <row r="86" spans="1:30" x14ac:dyDescent="0.25">
      <c r="A86" s="210"/>
    </row>
    <row r="92" spans="1:30" x14ac:dyDescent="0.25">
      <c r="A92" s="210"/>
    </row>
  </sheetData>
  <phoneticPr fontId="23" type="noConversion"/>
  <conditionalFormatting sqref="AB1:AB79 AB81:AB86 AB92:AB1048576">
    <cfRule type="cellIs" dxfId="155" priority="1" operator="equal">
      <formula>"Cancelado"</formula>
    </cfRule>
    <cfRule type="cellIs" dxfId="154" priority="2" operator="equal">
      <formula>"Aguardando"</formula>
    </cfRule>
    <cfRule type="cellIs" dxfId="153" priority="3" operator="equal">
      <formula>"Finalizado"</formula>
    </cfRule>
    <cfRule type="cellIs" dxfId="152" priority="4" operator="equal">
      <formula>"Em andamento"</formula>
    </cfRule>
  </conditionalFormatting>
  <printOptions horizontalCentered="1"/>
  <pageMargins left="0.15748031496062992" right="0.11811023622047245" top="0.56000000000000005" bottom="0.12" header="0.15748031496062992" footer="0.11811023622047245"/>
  <pageSetup paperSize="9" scale="95" fitToHeight="0" orientation="landscape" r:id="rId1"/>
  <headerFooter scaleWithDoc="0" alignWithMargins="0">
    <oddHeader>&amp;C&amp;"-,Negrito"Instituto Anna de Moura - Fundação
CNPJ 44.297.075/0001-51</oddHeader>
  </headerFooter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42E23-C0BE-4AEB-B553-A57894190CB4}">
  <sheetPr codeName="Planilha10"/>
  <dimension ref="A1:E30"/>
  <sheetViews>
    <sheetView showGridLines="0" workbookViewId="0">
      <selection activeCell="G10" sqref="G10"/>
    </sheetView>
  </sheetViews>
  <sheetFormatPr defaultRowHeight="15" x14ac:dyDescent="0.25"/>
  <cols>
    <col min="1" max="1" width="21" style="49" bestFit="1" customWidth="1"/>
    <col min="2" max="5" width="9.140625" style="49"/>
  </cols>
  <sheetData>
    <row r="1" spans="1:5" ht="15.75" thickBot="1" x14ac:dyDescent="0.3">
      <c r="A1" s="431" t="s">
        <v>367</v>
      </c>
      <c r="B1" s="432"/>
      <c r="C1" s="432"/>
      <c r="D1" s="432"/>
      <c r="E1" s="433"/>
    </row>
    <row r="2" spans="1:5" ht="15.75" thickBot="1" x14ac:dyDescent="0.3"/>
    <row r="3" spans="1:5" x14ac:dyDescent="0.25">
      <c r="A3" s="425" t="s">
        <v>157</v>
      </c>
      <c r="B3" s="426"/>
      <c r="C3" s="426"/>
      <c r="D3" s="426"/>
      <c r="E3" s="427"/>
    </row>
    <row r="4" spans="1:5" x14ac:dyDescent="0.25">
      <c r="A4" s="307">
        <v>45831</v>
      </c>
      <c r="B4" s="140">
        <v>0.33333333333333331</v>
      </c>
      <c r="C4" s="140">
        <v>0.5</v>
      </c>
      <c r="D4" s="140">
        <v>0.54166666666666663</v>
      </c>
      <c r="E4" s="308">
        <v>0.70833333333333337</v>
      </c>
    </row>
    <row r="5" spans="1:5" x14ac:dyDescent="0.25">
      <c r="A5" s="307" t="s">
        <v>371</v>
      </c>
      <c r="B5" s="138"/>
      <c r="C5" s="138"/>
      <c r="D5" s="140">
        <v>0.5625</v>
      </c>
      <c r="E5" s="308">
        <v>0.89583333333333337</v>
      </c>
    </row>
    <row r="6" spans="1:5" x14ac:dyDescent="0.25">
      <c r="A6" s="307">
        <v>45835</v>
      </c>
      <c r="B6" s="140">
        <v>0.33333333333333331</v>
      </c>
      <c r="C6" s="140">
        <v>0.5</v>
      </c>
      <c r="D6" s="140">
        <v>0.54166666666666663</v>
      </c>
      <c r="E6" s="308">
        <v>0.70833333333333337</v>
      </c>
    </row>
    <row r="7" spans="1:5" ht="15.75" thickBot="1" x14ac:dyDescent="0.3">
      <c r="A7" s="309">
        <v>45838</v>
      </c>
      <c r="B7" s="163">
        <v>0.33333333333333331</v>
      </c>
      <c r="C7" s="163">
        <v>0.5</v>
      </c>
      <c r="D7" s="163">
        <v>0.54166666666666663</v>
      </c>
      <c r="E7" s="310">
        <v>0.70833333333333337</v>
      </c>
    </row>
    <row r="8" spans="1:5" ht="15.75" thickBot="1" x14ac:dyDescent="0.3"/>
    <row r="9" spans="1:5" x14ac:dyDescent="0.25">
      <c r="A9" s="425" t="s">
        <v>158</v>
      </c>
      <c r="B9" s="426"/>
      <c r="C9" s="426"/>
      <c r="D9" s="426"/>
      <c r="E9" s="427"/>
    </row>
    <row r="10" spans="1:5" ht="15.75" thickBot="1" x14ac:dyDescent="0.3">
      <c r="A10" s="311" t="s">
        <v>372</v>
      </c>
      <c r="B10" s="163">
        <v>0.33333333333333331</v>
      </c>
      <c r="C10" s="163">
        <v>0.5</v>
      </c>
      <c r="D10" s="163">
        <v>0.54166666666666663</v>
      </c>
      <c r="E10" s="310">
        <v>0.70833333333333337</v>
      </c>
    </row>
    <row r="11" spans="1:5" ht="15.75" thickBot="1" x14ac:dyDescent="0.3"/>
    <row r="12" spans="1:5" x14ac:dyDescent="0.25">
      <c r="A12" s="428" t="s">
        <v>368</v>
      </c>
      <c r="B12" s="429"/>
      <c r="C12" s="429"/>
      <c r="D12" s="429"/>
      <c r="E12" s="430"/>
    </row>
    <row r="13" spans="1:5" x14ac:dyDescent="0.25">
      <c r="A13" s="312" t="s">
        <v>370</v>
      </c>
      <c r="B13" s="140">
        <v>0.33333333333333331</v>
      </c>
      <c r="C13" s="140">
        <v>0.70833333333333337</v>
      </c>
      <c r="D13" s="138"/>
      <c r="E13" s="313"/>
    </row>
    <row r="14" spans="1:5" ht="15.75" thickBot="1" x14ac:dyDescent="0.3">
      <c r="A14" s="314" t="s">
        <v>369</v>
      </c>
      <c r="B14" s="163">
        <v>0.33333333333333331</v>
      </c>
      <c r="C14" s="163">
        <v>0.52083333333333337</v>
      </c>
      <c r="D14" s="163">
        <v>0.5625</v>
      </c>
      <c r="E14" s="310">
        <v>0.91666666666666663</v>
      </c>
    </row>
    <row r="16" spans="1:5" ht="15.75" thickBot="1" x14ac:dyDescent="0.3"/>
    <row r="17" spans="1:5" ht="15.75" thickBot="1" x14ac:dyDescent="0.3">
      <c r="A17" s="431" t="s">
        <v>367</v>
      </c>
      <c r="B17" s="432"/>
      <c r="C17" s="432"/>
      <c r="D17" s="432"/>
      <c r="E17" s="433"/>
    </row>
    <row r="18" spans="1:5" ht="15.75" thickBot="1" x14ac:dyDescent="0.3"/>
    <row r="19" spans="1:5" x14ac:dyDescent="0.25">
      <c r="A19" s="425" t="s">
        <v>157</v>
      </c>
      <c r="B19" s="426"/>
      <c r="C19" s="426"/>
      <c r="D19" s="426"/>
      <c r="E19" s="427"/>
    </row>
    <row r="20" spans="1:5" x14ac:dyDescent="0.25">
      <c r="A20" s="307">
        <v>45831</v>
      </c>
      <c r="B20" s="140">
        <v>0.33333333333333331</v>
      </c>
      <c r="C20" s="140">
        <v>0.5</v>
      </c>
      <c r="D20" s="140">
        <v>0.54166666666666663</v>
      </c>
      <c r="E20" s="308">
        <v>0.70833333333333337</v>
      </c>
    </row>
    <row r="21" spans="1:5" x14ac:dyDescent="0.25">
      <c r="A21" s="307" t="s">
        <v>371</v>
      </c>
      <c r="B21" s="138"/>
      <c r="C21" s="138"/>
      <c r="D21" s="140">
        <v>0.5625</v>
      </c>
      <c r="E21" s="308">
        <v>0.89583333333333337</v>
      </c>
    </row>
    <row r="22" spans="1:5" x14ac:dyDescent="0.25">
      <c r="A22" s="307">
        <v>45835</v>
      </c>
      <c r="B22" s="140">
        <v>0.33333333333333331</v>
      </c>
      <c r="C22" s="140">
        <v>0.5</v>
      </c>
      <c r="D22" s="140">
        <v>0.54166666666666663</v>
      </c>
      <c r="E22" s="308">
        <v>0.70833333333333337</v>
      </c>
    </row>
    <row r="23" spans="1:5" ht="15.75" thickBot="1" x14ac:dyDescent="0.3">
      <c r="A23" s="309">
        <v>45838</v>
      </c>
      <c r="B23" s="163">
        <v>0.33333333333333331</v>
      </c>
      <c r="C23" s="163">
        <v>0.5</v>
      </c>
      <c r="D23" s="163">
        <v>0.54166666666666663</v>
      </c>
      <c r="E23" s="310">
        <v>0.70833333333333337</v>
      </c>
    </row>
    <row r="24" spans="1:5" ht="15.75" thickBot="1" x14ac:dyDescent="0.3"/>
    <row r="25" spans="1:5" x14ac:dyDescent="0.25">
      <c r="A25" s="425" t="s">
        <v>158</v>
      </c>
      <c r="B25" s="426"/>
      <c r="C25" s="426"/>
      <c r="D25" s="426"/>
      <c r="E25" s="427"/>
    </row>
    <row r="26" spans="1:5" ht="15.75" thickBot="1" x14ac:dyDescent="0.3">
      <c r="A26" s="311" t="s">
        <v>372</v>
      </c>
      <c r="B26" s="163">
        <v>0.33333333333333331</v>
      </c>
      <c r="C26" s="163">
        <v>0.5</v>
      </c>
      <c r="D26" s="163">
        <v>0.54166666666666663</v>
      </c>
      <c r="E26" s="310">
        <v>0.70833333333333337</v>
      </c>
    </row>
    <row r="27" spans="1:5" ht="15.75" thickBot="1" x14ac:dyDescent="0.3"/>
    <row r="28" spans="1:5" x14ac:dyDescent="0.25">
      <c r="A28" s="428" t="s">
        <v>368</v>
      </c>
      <c r="B28" s="429"/>
      <c r="C28" s="429"/>
      <c r="D28" s="429"/>
      <c r="E28" s="430"/>
    </row>
    <row r="29" spans="1:5" x14ac:dyDescent="0.25">
      <c r="A29" s="312" t="s">
        <v>370</v>
      </c>
      <c r="B29" s="140">
        <v>0.33333333333333331</v>
      </c>
      <c r="C29" s="140">
        <v>0.70833333333333337</v>
      </c>
      <c r="D29" s="138"/>
      <c r="E29" s="313"/>
    </row>
    <row r="30" spans="1:5" ht="15.75" thickBot="1" x14ac:dyDescent="0.3">
      <c r="A30" s="314" t="s">
        <v>369</v>
      </c>
      <c r="B30" s="163">
        <v>0.33333333333333331</v>
      </c>
      <c r="C30" s="163">
        <v>0.52083333333333337</v>
      </c>
      <c r="D30" s="163">
        <v>0.5625</v>
      </c>
      <c r="E30" s="310">
        <v>0.91666666666666663</v>
      </c>
    </row>
  </sheetData>
  <mergeCells count="8">
    <mergeCell ref="A25:E25"/>
    <mergeCell ref="A28:E28"/>
    <mergeCell ref="A12:E12"/>
    <mergeCell ref="A1:E1"/>
    <mergeCell ref="A9:E9"/>
    <mergeCell ref="A3:E3"/>
    <mergeCell ref="A17:E17"/>
    <mergeCell ref="A19:E19"/>
  </mergeCells>
  <phoneticPr fontId="23" type="noConversion"/>
  <printOptions horizontalCentered="1"/>
  <pageMargins left="0.51181102362204722" right="0.51181102362204722" top="0.78740157480314965" bottom="0.78740157480314965" header="0.31496062992125984" footer="0.31496062992125984"/>
  <pageSetup paperSize="9" scale="14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F371-8B8B-4157-91F8-D2DB640D5E3D}">
  <sheetPr codeName="Planilha11"/>
  <dimension ref="A1:G113"/>
  <sheetViews>
    <sheetView workbookViewId="0">
      <selection activeCell="A2" sqref="A2"/>
    </sheetView>
  </sheetViews>
  <sheetFormatPr defaultRowHeight="15" x14ac:dyDescent="0.25"/>
  <cols>
    <col min="1" max="1" width="18.28515625" style="4" bestFit="1" customWidth="1"/>
    <col min="2" max="2" width="50.85546875" bestFit="1" customWidth="1"/>
    <col min="3" max="3" width="15.140625" style="234" customWidth="1"/>
    <col min="4" max="4" width="19.28515625" style="40" customWidth="1"/>
    <col min="5" max="5" width="17.140625" style="234" customWidth="1"/>
    <col min="7" max="7" width="12.140625" bestFit="1" customWidth="1"/>
  </cols>
  <sheetData>
    <row r="1" spans="1:5" x14ac:dyDescent="0.25">
      <c r="A1" s="4" t="s">
        <v>282</v>
      </c>
    </row>
    <row r="2" spans="1:5" s="214" customFormat="1" ht="30" x14ac:dyDescent="0.25">
      <c r="A2" s="17" t="s">
        <v>93</v>
      </c>
      <c r="B2" s="237" t="s">
        <v>2</v>
      </c>
      <c r="C2" s="238" t="s">
        <v>72</v>
      </c>
      <c r="D2" s="239" t="s">
        <v>283</v>
      </c>
      <c r="E2" s="239" t="s">
        <v>321</v>
      </c>
    </row>
    <row r="3" spans="1:5" x14ac:dyDescent="0.25">
      <c r="A3" s="42" t="str">
        <f>Planejamento2025[[#This Row],[ID]]</f>
        <v>AuxAdm_T1</v>
      </c>
      <c r="B3" s="233" t="str">
        <f>IFERROR(VLOOKUP(A3,Planejamento2025[[#Data],[#Totals]],2,FALSE),0)</f>
        <v>Auxiliar Administrativo</v>
      </c>
      <c r="C3" s="236">
        <f>IFERROR(VLOOKUP(A3,Planejamento2025[[#Data],[#Totals]],24,FALSE),0)</f>
        <v>7600</v>
      </c>
      <c r="D3" s="240">
        <f>IFERROR(VLOOKUP(A3,'RH '!$A$4:$I$27,9,FALSE),0)</f>
        <v>7552.5</v>
      </c>
      <c r="E3" s="236">
        <f>IFERROR(VLOOKUP(A3,Insumos!$A$3:$I$10,9,FALSE),0)</f>
        <v>0</v>
      </c>
    </row>
    <row r="4" spans="1:5" x14ac:dyDescent="0.25">
      <c r="A4" s="42" t="str">
        <f>Planejamento2025[[#This Row],[ID]]</f>
        <v>LidGes_T1</v>
      </c>
      <c r="B4" s="233" t="str">
        <f>IFERROR(VLOOKUP(A4,Planejamento2025[[#Data],[#Totals]],2,FALSE),0)</f>
        <v>Liderança Gestão Estratégica de Equipes</v>
      </c>
      <c r="C4" s="236">
        <f>IFERROR(VLOOKUP(A4,Planejamento2025[[#Data],[#Totals]],24,FALSE),0)</f>
        <v>7600</v>
      </c>
      <c r="D4" s="240">
        <f>IFERROR(VLOOKUP(A4,'RH '!$A$4:$I$27,9,FALSE),0)</f>
        <v>7552.5</v>
      </c>
      <c r="E4" s="236">
        <f>IFERROR(VLOOKUP(A4,Insumos!$A$3:$I$10,9,FALSE),0)</f>
        <v>0</v>
      </c>
    </row>
    <row r="5" spans="1:5" x14ac:dyDescent="0.25">
      <c r="A5" s="42" t="str">
        <f>Planejamento2025[[#This Row],[ID]]</f>
        <v>SorArt_T1</v>
      </c>
      <c r="B5" s="233" t="str">
        <f>IFERROR(VLOOKUP(A5,Planejamento2025[[#Data],[#Totals]],2,FALSE),0)</f>
        <v>Sorvetes Artesanais</v>
      </c>
      <c r="C5" s="236">
        <f>IFERROR(VLOOKUP(A5,Planejamento2025[[#Data],[#Totals]],24,FALSE),0)</f>
        <v>855</v>
      </c>
      <c r="D5" s="240">
        <f>IFERROR(VLOOKUP(A5,'RH '!$A$4:$I$27,9,FALSE),0)</f>
        <v>855</v>
      </c>
      <c r="E5" s="236">
        <f>IFERROR(VLOOKUP(A5,Insumos!$A$3:$I$10,9,FALSE),0)</f>
        <v>244.77</v>
      </c>
    </row>
    <row r="6" spans="1:5" x14ac:dyDescent="0.25">
      <c r="A6" s="42" t="str">
        <f>Planejamento2025[[#This Row],[ID]]</f>
        <v>PacOff_T1</v>
      </c>
      <c r="B6" s="233" t="str">
        <f>IFERROR(VLOOKUP(A6,Planejamento2025[[#Data],[#Totals]],2,FALSE),0)</f>
        <v>Pacote Office</v>
      </c>
      <c r="C6" s="236">
        <f>IFERROR(VLOOKUP(A6,Planejamento2025[[#Data],[#Totals]],24,FALSE),0)</f>
        <v>4560</v>
      </c>
      <c r="D6" s="240">
        <f>IFERROR(VLOOKUP(A6,'RH '!$A$4:$I$27,9,FALSE),0)</f>
        <v>4560</v>
      </c>
      <c r="E6" s="236">
        <f>IFERROR(VLOOKUP(A6,Insumos!$A$3:$I$10,9,FALSE),0)</f>
        <v>0</v>
      </c>
    </row>
    <row r="7" spans="1:5" x14ac:dyDescent="0.25">
      <c r="A7" s="42" t="str">
        <f>Planejamento2025[[#This Row],[ID]]</f>
        <v>InfBás_T1</v>
      </c>
      <c r="B7" s="233" t="str">
        <f>IFERROR(VLOOKUP(A7,Planejamento2025[[#Data],[#Totals]],2,FALSE),0)</f>
        <v>Informática Básica</v>
      </c>
      <c r="C7" s="236">
        <f>IFERROR(VLOOKUP(A7,Planejamento2025[[#Data],[#Totals]],24,FALSE),0)</f>
        <v>2850</v>
      </c>
      <c r="D7" s="240">
        <f>IFERROR(VLOOKUP(A7,'RH '!$A$4:$I$27,9,FALSE),0)</f>
        <v>2850</v>
      </c>
      <c r="E7" s="236">
        <f>IFERROR(VLOOKUP(A7,Insumos!$A$3:$I$10,9,FALSE),0)</f>
        <v>0</v>
      </c>
    </row>
    <row r="8" spans="1:5" x14ac:dyDescent="0.25">
      <c r="A8" s="42" t="str">
        <f>Planejamento2025[[#This Row],[ID]]</f>
        <v>Ing _T1</v>
      </c>
      <c r="B8" s="233" t="str">
        <f>IFERROR(VLOOKUP(A8,Planejamento2025[[#Data],[#Totals]],2,FALSE),0)</f>
        <v>Inglês</v>
      </c>
      <c r="C8" s="236">
        <f>IFERROR(VLOOKUP(A8,Planejamento2025[[#Data],[#Totals]],24,FALSE),0)</f>
        <v>3800</v>
      </c>
      <c r="D8" s="240">
        <f>IFERROR(VLOOKUP(A8,'RH '!$A$4:$I$27,9,FALSE),0)</f>
        <v>3705</v>
      </c>
      <c r="E8" s="236">
        <f>IFERROR(VLOOKUP(A8,Insumos!$A$3:$I$10,9,FALSE),0)</f>
        <v>0</v>
      </c>
    </row>
    <row r="9" spans="1:5" x14ac:dyDescent="0.25">
      <c r="A9" s="42" t="str">
        <f>Planejamento2025[[#This Row],[ID]]</f>
        <v>Gin _T1</v>
      </c>
      <c r="B9" s="233" t="str">
        <f>IFERROR(VLOOKUP(A9,Planejamento2025[[#Data],[#Totals]],2,FALSE),0)</f>
        <v>Ginastica</v>
      </c>
      <c r="C9" s="236">
        <f>IFERROR(VLOOKUP(A9,Planejamento2025[[#Data],[#Totals]],24,FALSE),0)</f>
        <v>1045</v>
      </c>
      <c r="D9" s="240">
        <f>IFERROR(VLOOKUP(A9,'RH '!$A$4:$I$27,9,FALSE),0)</f>
        <v>990</v>
      </c>
      <c r="E9" s="236">
        <f>IFERROR(VLOOKUP(A9,Insumos!$A$3:$I$10,9,FALSE),0)</f>
        <v>0</v>
      </c>
    </row>
    <row r="10" spans="1:5" x14ac:dyDescent="0.25">
      <c r="A10" s="42" t="str">
        <f>Planejamento2025[[#This Row],[ID]]</f>
        <v>Tea _T1</v>
      </c>
      <c r="B10" s="233" t="str">
        <f>IFERROR(VLOOKUP(A10,Planejamento2025[[#Data],[#Totals]],2,FALSE),0)</f>
        <v>Teatro</v>
      </c>
      <c r="C10" s="236">
        <f>IFERROR(VLOOKUP(A10,Planejamento2025[[#Data],[#Totals]],24,FALSE),0)</f>
        <v>1900</v>
      </c>
      <c r="D10" s="240">
        <f>IFERROR(VLOOKUP(A10,'RH '!$A$4:$I$27,9,FALSE),0)</f>
        <v>1805</v>
      </c>
      <c r="E10" s="236">
        <f>IFERROR(VLOOKUP(A10,Insumos!$A$3:$I$10,9,FALSE),0)</f>
        <v>0</v>
      </c>
    </row>
    <row r="11" spans="1:5" x14ac:dyDescent="0.25">
      <c r="A11" s="42" t="str">
        <f>Planejamento2025[[#This Row],[ID]]</f>
        <v>InfBás_T2</v>
      </c>
      <c r="B11" s="233" t="str">
        <f>IFERROR(VLOOKUP(A11,Planejamento2025[[#Data],[#Totals]],2,FALSE),0)</f>
        <v>Informática Básica</v>
      </c>
      <c r="C11" s="236">
        <f>IFERROR(VLOOKUP(A11,Planejamento2025[[#Data],[#Totals]],24,FALSE),0)</f>
        <v>0</v>
      </c>
      <c r="D11" s="240">
        <f>IFERROR(VLOOKUP(A11,'RH '!$A$4:$I$27,9,FALSE),0)</f>
        <v>0</v>
      </c>
      <c r="E11" s="236">
        <f>IFERROR(VLOOKUP(A11,Insumos!$A$3:$I$10,9,FALSE),0)</f>
        <v>0</v>
      </c>
    </row>
    <row r="12" spans="1:5" x14ac:dyDescent="0.25">
      <c r="A12" s="42" t="str">
        <f>Planejamento2025[[#This Row],[ID]]</f>
        <v>Fut _T1</v>
      </c>
      <c r="B12" s="233" t="str">
        <f>IFERROR(VLOOKUP(A12,Planejamento2025[[#Data],[#Totals]],2,FALSE),0)</f>
        <v>Futsal</v>
      </c>
      <c r="C12" s="236">
        <f>IFERROR(VLOOKUP(A12,Planejamento2025[[#Data],[#Totals]],24,FALSE),0)</f>
        <v>1615</v>
      </c>
      <c r="D12" s="240">
        <f>IFERROR(VLOOKUP(A12,'RH '!$A$4:$I$27,9,FALSE),0)</f>
        <v>1615</v>
      </c>
      <c r="E12" s="236">
        <f>IFERROR(VLOOKUP(A12,Insumos!$A$3:$I$10,9,FALSE),0)</f>
        <v>0</v>
      </c>
    </row>
    <row r="13" spans="1:5" x14ac:dyDescent="0.25">
      <c r="A13" s="42" t="str">
        <f>Planejamento2025[[#This Row],[ID]]</f>
        <v>Fut _T2</v>
      </c>
      <c r="B13" s="233" t="str">
        <f>IFERROR(VLOOKUP(A13,Planejamento2025[[#Data],[#Totals]],2,FALSE),0)</f>
        <v>Futsal</v>
      </c>
      <c r="C13" s="236">
        <f>IFERROR(VLOOKUP(A13,Planejamento2025[[#Data],[#Totals]],24,FALSE),0)</f>
        <v>1615</v>
      </c>
      <c r="D13" s="240">
        <f>IFERROR(VLOOKUP(A13,'RH '!$A$4:$I$27,9,FALSE),0)</f>
        <v>1615</v>
      </c>
      <c r="E13" s="236">
        <f>IFERROR(VLOOKUP(A13,Insumos!$A$3:$I$10,9,FALSE),0)</f>
        <v>0</v>
      </c>
    </row>
    <row r="14" spans="1:5" x14ac:dyDescent="0.25">
      <c r="A14" s="42" t="str">
        <f>Planejamento2025[[#This Row],[ID]]</f>
        <v>Man _T1</v>
      </c>
      <c r="B14" s="233" t="str">
        <f>IFERROR(VLOOKUP(A14,Planejamento2025[[#Data],[#Totals]],2,FALSE),0)</f>
        <v>Manicure</v>
      </c>
      <c r="C14" s="236">
        <f>IFERROR(VLOOKUP(A14,Planejamento2025[[#Data],[#Totals]],24,FALSE),0)</f>
        <v>1425</v>
      </c>
      <c r="D14" s="240">
        <f>IFERROR(VLOOKUP(A14,'RH '!$A$4:$I$27,9,FALSE),0)</f>
        <v>1520</v>
      </c>
      <c r="E14" s="236">
        <f>IFERROR(VLOOKUP(A14,Insumos!$A$3:$I$10,9,FALSE),0)</f>
        <v>0</v>
      </c>
    </row>
    <row r="15" spans="1:5" x14ac:dyDescent="0.25">
      <c r="A15" s="42" t="str">
        <f>Planejamento2025[[#This Row],[ID]]</f>
        <v>Lid _T1</v>
      </c>
      <c r="B15" s="233" t="str">
        <f>IFERROR(VLOOKUP(A15,Planejamento2025[[#Data],[#Totals]],2,FALSE),0)</f>
        <v>Liderança</v>
      </c>
      <c r="C15" s="236" t="str">
        <f>IFERROR(VLOOKUP(A15,Planejamento2025[[#Data],[#Totals]],24,FALSE),0)</f>
        <v>R$ 0,00</v>
      </c>
      <c r="D15" s="240">
        <f>IFERROR(VLOOKUP(A15,'RH '!$A$4:$I$27,9,FALSE),0)</f>
        <v>0</v>
      </c>
      <c r="E15" s="236">
        <f>IFERROR(VLOOKUP(A15,Insumos!$A$3:$I$10,9,FALSE),0)</f>
        <v>0</v>
      </c>
    </row>
    <row r="16" spans="1:5" x14ac:dyDescent="0.25">
      <c r="A16" s="42" t="str">
        <f>Planejamento2025[[#This Row],[ID]]</f>
        <v>EleIns_T1</v>
      </c>
      <c r="B16" s="233" t="str">
        <f>IFERROR(VLOOKUP(A16,Planejamento2025[[#Data],[#Totals]],2,FALSE),0)</f>
        <v>Eletricista Instalador</v>
      </c>
      <c r="C16" s="236" t="str">
        <f>IFERROR(VLOOKUP(A16,Planejamento2025[[#Data],[#Totals]],24,FALSE),0)</f>
        <v>R$ 0,00</v>
      </c>
      <c r="D16" s="240">
        <f>IFERROR(VLOOKUP(A16,'RH '!$A$4:$I$27,9,FALSE),0)</f>
        <v>0</v>
      </c>
      <c r="E16" s="236">
        <f>IFERROR(VLOOKUP(A16,Insumos!$A$3:$I$10,9,FALSE),0)</f>
        <v>0</v>
      </c>
    </row>
    <row r="17" spans="1:7" x14ac:dyDescent="0.25">
      <c r="A17" s="42" t="str">
        <f>Planejamento2025[[#This Row],[ID]]</f>
        <v>Op_Micro_T1</v>
      </c>
      <c r="B17" s="233" t="str">
        <f>IFERROR(VLOOKUP(A17,Planejamento2025[[#Data],[#Totals]],2,FALSE),0)</f>
        <v>Operador de Micro</v>
      </c>
      <c r="C17" s="236" t="str">
        <f>IFERROR(VLOOKUP(A17,Planejamento2025[[#Data],[#Totals]],24,FALSE),0)</f>
        <v>R$ 0,00</v>
      </c>
      <c r="D17" s="240">
        <f>IFERROR(VLOOKUP(A17,'RH '!$A$4:$I$27,9,FALSE),0)</f>
        <v>0</v>
      </c>
      <c r="E17" s="236">
        <f>IFERROR(VLOOKUP(A17,Insumos!$A$3:$I$10,9,FALSE),0)</f>
        <v>0</v>
      </c>
    </row>
    <row r="18" spans="1:7" x14ac:dyDescent="0.25">
      <c r="A18" s="42" t="str">
        <f>Planejamento2025[[#This Row],[ID]]</f>
        <v>Cup_Bolo_T1</v>
      </c>
      <c r="B18" s="233" t="str">
        <f>IFERROR(VLOOKUP(A18,Planejamento2025[[#Data],[#Totals]],2,FALSE),0)</f>
        <v>Aprenda a Fabricar e Vender Cupcakes e Bolos Caseiros</v>
      </c>
      <c r="C18" s="236" t="str">
        <f>IFERROR(VLOOKUP(A18,Planejamento2025[[#Data],[#Totals]],24,FALSE),0)</f>
        <v>R$ 0,00</v>
      </c>
      <c r="D18" s="240">
        <f>IFERROR(VLOOKUP(A18,'RH '!$A$4:$I$27,9,FALSE),0)</f>
        <v>0</v>
      </c>
      <c r="E18" s="236">
        <f>IFERROR(VLOOKUP(A18,Insumos!$A$3:$I$10,9,FALSE),0)</f>
        <v>0</v>
      </c>
    </row>
    <row r="19" spans="1:7" x14ac:dyDescent="0.25">
      <c r="A19" s="42" t="str">
        <f>Planejamento2025[[#This Row],[ID]]</f>
        <v>PãeEsp_T1</v>
      </c>
      <c r="B19" s="233" t="str">
        <f>IFERROR(VLOOKUP(A19,Planejamento2025[[#Data],[#Totals]],2,FALSE),0)</f>
        <v>Pães Especiais</v>
      </c>
      <c r="C19" s="236">
        <f>IFERROR(VLOOKUP(A19,Planejamento2025[[#Data],[#Totals]],24,FALSE),0)</f>
        <v>855</v>
      </c>
      <c r="D19" s="240">
        <f>IFERROR(VLOOKUP(A19,'RH '!$A$4:$I$27,9,FALSE),0)</f>
        <v>855</v>
      </c>
      <c r="E19" s="236">
        <f>IFERROR(VLOOKUP(A19,Insumos!$A$3:$I$10,9,FALSE),0)</f>
        <v>515.84</v>
      </c>
    </row>
    <row r="20" spans="1:7" x14ac:dyDescent="0.25">
      <c r="A20" s="42" t="str">
        <f>Planejamento2025[[#This Row],[ID]]</f>
        <v>PacOff_T2</v>
      </c>
      <c r="B20" s="233" t="str">
        <f>IFERROR(VLOOKUP(A20,Planejamento2025[[#Data],[#Totals]],2,FALSE),0)</f>
        <v>Pacote Office</v>
      </c>
      <c r="C20" s="236">
        <f>IFERROR(VLOOKUP(A20,Planejamento2025[[#Data],[#Totals]],24,FALSE),0)</f>
        <v>4560</v>
      </c>
      <c r="D20" s="240">
        <f>IFERROR(VLOOKUP(A20,'RH '!$A$4:$I$27,9,FALSE),0)</f>
        <v>4560</v>
      </c>
      <c r="E20" s="236">
        <f>IFERROR(VLOOKUP(A20,Insumos!$A$3:$I$10,9,FALSE),0)</f>
        <v>0</v>
      </c>
    </row>
    <row r="21" spans="1:7" x14ac:dyDescent="0.25">
      <c r="A21" s="42" t="str">
        <f>Planejamento2025[[#This Row],[ID]]</f>
        <v>Ban _T1</v>
      </c>
      <c r="B21" s="233" t="str">
        <f>IFERROR(VLOOKUP(A21,Planejamento2025[[#Data],[#Totals]],2,FALSE),0)</f>
        <v>Banda</v>
      </c>
      <c r="C21" s="236">
        <f>IFERROR(VLOOKUP(A21,Planejamento2025[[#Data],[#Totals]],24,FALSE),0)</f>
        <v>12896.25</v>
      </c>
      <c r="D21" s="240">
        <f>IFERROR(VLOOKUP(A21,'RH '!$A$4:$I$27,9,FALSE),0)</f>
        <v>7037.92</v>
      </c>
      <c r="E21" s="236">
        <f>IFERROR(VLOOKUP(A21,Insumos!$A$3:$I$10,9,FALSE),0)</f>
        <v>0</v>
      </c>
    </row>
    <row r="22" spans="1:7" x14ac:dyDescent="0.25">
      <c r="A22" s="42" t="str">
        <f>Planejamento2025[[#This Row],[ID]]</f>
        <v>Ajust_Ref_T1</v>
      </c>
      <c r="B22" s="233" t="str">
        <f>IFERROR(VLOOKUP(A22,Planejamento2025[[#Data],[#Totals]],2,FALSE),0)</f>
        <v>Aprenda a Ajustar e Reformar Roupas</v>
      </c>
      <c r="C22" s="236" t="str">
        <f>IFERROR(VLOOKUP(A22,Planejamento2025[[#Data],[#Totals]],24,FALSE),0)</f>
        <v>R$ 0,00</v>
      </c>
      <c r="D22" s="240">
        <f>IFERROR(VLOOKUP(A22,'RH '!$A$4:$I$27,9,FALSE),0)</f>
        <v>0</v>
      </c>
      <c r="E22" s="236">
        <f>IFERROR(VLOOKUP(A22,Insumos!$A$3:$I$10,9,FALSE),0)</f>
        <v>0</v>
      </c>
      <c r="G22" s="296"/>
    </row>
    <row r="23" spans="1:7" x14ac:dyDescent="0.25">
      <c r="A23" s="42" t="str">
        <f>Planejamento2025[[#This Row],[ID]]</f>
        <v>Ing _T2</v>
      </c>
      <c r="B23" s="233" t="str">
        <f>IFERROR(VLOOKUP(A23,Planejamento2025[[#Data],[#Totals]],2,FALSE),0)</f>
        <v>Inglês</v>
      </c>
      <c r="C23" s="236">
        <f>IFERROR(VLOOKUP(A23,Planejamento2025[[#Data],[#Totals]],24,FALSE),0)</f>
        <v>1757.5</v>
      </c>
      <c r="D23" s="240">
        <f>IFERROR(VLOOKUP(A23,'RH '!$A$4:$I$27,9,FALSE),0)</f>
        <v>1852.5</v>
      </c>
      <c r="E23" s="236">
        <f>IFERROR(VLOOKUP(A23,Insumos!$A$3:$I$10,9,FALSE),0)</f>
        <v>0</v>
      </c>
    </row>
    <row r="24" spans="1:7" x14ac:dyDescent="0.25">
      <c r="A24" s="42" t="str">
        <f>Planejamento2025[[#This Row],[ID]]</f>
        <v>Cost_Maq_T1</v>
      </c>
      <c r="B24" s="233" t="str">
        <f>IFERROR(VLOOKUP(A24,Planejamento2025[[#Data],[#Totals]],2,FALSE),0)</f>
        <v>Costureiro de Máquina Reta e Overloque</v>
      </c>
      <c r="C24" s="236" t="str">
        <f>IFERROR(VLOOKUP(A24,Planejamento2025[[#Data],[#Totals]],24,FALSE),0)</f>
        <v>R$ 0,00</v>
      </c>
      <c r="D24" s="240">
        <f>IFERROR(VLOOKUP(A24,'RH '!$A$4:$I$27,9,FALSE),0)</f>
        <v>0</v>
      </c>
      <c r="E24" s="236">
        <f>IFERROR(VLOOKUP(A24,Insumos!$A$3:$I$10,9,FALSE),0)</f>
        <v>0</v>
      </c>
    </row>
    <row r="25" spans="1:7" x14ac:dyDescent="0.25">
      <c r="A25" s="42" t="str">
        <f>Planejamento2025[[#This Row],[ID]]</f>
        <v>Cost_Maq_T2</v>
      </c>
      <c r="B25" s="233" t="str">
        <f>IFERROR(VLOOKUP(A25,Planejamento2025[[#Data],[#Totals]],2,FALSE),0)</f>
        <v>Costureiro de Máquina Reta e Overloque</v>
      </c>
      <c r="C25" s="236" t="str">
        <f>IFERROR(VLOOKUP(A25,Planejamento2025[[#Data],[#Totals]],24,FALSE),0)</f>
        <v>R$ 0,00</v>
      </c>
      <c r="D25" s="240">
        <f>IFERROR(VLOOKUP(A25,'RH '!$A$4:$I$27,9,FALSE),0)</f>
        <v>0</v>
      </c>
      <c r="E25" s="236">
        <f>IFERROR(VLOOKUP(A25,Insumos!$A$3:$I$10,9,FALSE),0)</f>
        <v>0</v>
      </c>
    </row>
    <row r="26" spans="1:7" x14ac:dyDescent="0.25">
      <c r="A26" s="42" t="str">
        <f>Planejamento2025[[#This Row],[ID]]</f>
        <v>MasFol_T1</v>
      </c>
      <c r="B26" s="233" t="str">
        <f>IFERROR(VLOOKUP(A26,Planejamento2025[[#Data],[#Totals]],2,FALSE),0)</f>
        <v>Massas Folhadas</v>
      </c>
      <c r="C26" s="236">
        <f>IFERROR(VLOOKUP(A26,Planejamento2025[[#Data],[#Totals]],24,FALSE),0)</f>
        <v>712.5</v>
      </c>
      <c r="D26" s="240">
        <f>IFERROR(VLOOKUP(A26,'RH '!$A$4:$I$27,9,FALSE),0)</f>
        <v>712.5</v>
      </c>
      <c r="E26" s="236">
        <f>IFERROR(VLOOKUP(A26,Insumos!$A$3:$I$10,9,FALSE),0)</f>
        <v>767.87</v>
      </c>
    </row>
    <row r="27" spans="1:7" x14ac:dyDescent="0.25">
      <c r="A27" s="42" t="str">
        <f>Planejamento2025[[#This Row],[ID]]</f>
        <v>ExcBás_T1</v>
      </c>
      <c r="B27" s="233" t="str">
        <f>IFERROR(VLOOKUP(A27,Planejamento2025[[#Data],[#Totals]],2,FALSE),0)</f>
        <v>Excel Básico</v>
      </c>
      <c r="C27" s="236" t="str">
        <f>IFERROR(VLOOKUP(A27,Planejamento2025[[#Data],[#Totals]],24,FALSE),0)</f>
        <v>R$ 0,00</v>
      </c>
      <c r="D27" s="240">
        <f>IFERROR(VLOOKUP(A27,'RH '!$A$4:$I$27,9,FALSE),0)</f>
        <v>0</v>
      </c>
      <c r="E27" s="236">
        <f>IFERROR(VLOOKUP(A27,Insumos!$A$3:$I$10,9,FALSE),0)</f>
        <v>0</v>
      </c>
    </row>
    <row r="28" spans="1:7" x14ac:dyDescent="0.25">
      <c r="A28" s="42" t="str">
        <f>Planejamento2025[[#This Row],[ID]]</f>
        <v>PlaCon_T1</v>
      </c>
      <c r="B28" s="233" t="str">
        <f>IFERROR(VLOOKUP(A28,Planejamento2025[[#Data],[#Totals]],2,FALSE),0)</f>
        <v>Planejamento Controle de Produção</v>
      </c>
      <c r="C28" s="236" t="str">
        <f>IFERROR(VLOOKUP(A28,Planejamento2025[[#Data],[#Totals]],24,FALSE),0)</f>
        <v>R$ 0,00</v>
      </c>
      <c r="D28" s="240">
        <f>IFERROR(VLOOKUP(A28,'RH '!$A$4:$I$27,9,FALSE),0)</f>
        <v>0</v>
      </c>
      <c r="E28" s="236">
        <f>IFERROR(VLOOKUP(A28,Insumos!$A$3:$I$10,9,FALSE),0)</f>
        <v>0</v>
      </c>
    </row>
    <row r="29" spans="1:7" x14ac:dyDescent="0.25">
      <c r="A29" s="42" t="str">
        <f>Planejamento2025[[#This Row],[ID]]</f>
        <v>Caf _T1</v>
      </c>
      <c r="B29" s="233" t="str">
        <f>IFERROR(VLOOKUP(A29,Planejamento2025[[#Data],[#Totals]],2,FALSE),0)</f>
        <v>Cafeteria</v>
      </c>
      <c r="C29" s="236">
        <f>IFERROR(VLOOKUP(A29,Planejamento2025[[#Data],[#Totals]],24,FALSE),0)</f>
        <v>712.5</v>
      </c>
      <c r="D29" s="240">
        <f>IFERROR(VLOOKUP(A29,'RH '!$A$4:$I$27,9,FALSE),0)</f>
        <v>712.5</v>
      </c>
      <c r="E29" s="236">
        <f>IFERROR(VLOOKUP(A29,Insumos!$A$3:$I$10,9,FALSE),0)</f>
        <v>247.09</v>
      </c>
    </row>
    <row r="30" spans="1:7" x14ac:dyDescent="0.25">
      <c r="A30" s="42" t="str">
        <f>Planejamento2025[[#This Row],[ID]]</f>
        <v>PacOff_T3</v>
      </c>
      <c r="B30" s="233" t="str">
        <f>IFERROR(VLOOKUP(A30,Planejamento2025[[#Data],[#Totals]],2,FALSE),0)</f>
        <v>Pacote Office</v>
      </c>
      <c r="C30" s="236" t="str">
        <f>IFERROR(VLOOKUP(A30,Planejamento2025[[#Data],[#Totals]],24,FALSE),0)</f>
        <v>R$ 0,00</v>
      </c>
      <c r="D30" s="240">
        <f>IFERROR(VLOOKUP(A30,'RH '!$A$4:$I$27,9,FALSE),0)</f>
        <v>0</v>
      </c>
      <c r="E30" s="236">
        <f>IFERROR(VLOOKUP(A30,Insumos!$A$3:$I$10,9,FALSE),0)</f>
        <v>0</v>
      </c>
    </row>
    <row r="31" spans="1:7" x14ac:dyDescent="0.25">
      <c r="A31" s="42" t="str">
        <f>Planejamento2025[[#This Row],[ID]]</f>
        <v>AuxAdm_T2</v>
      </c>
      <c r="B31" s="233" t="str">
        <f>IFERROR(VLOOKUP(A31,Planejamento2025[[#Data],[#Totals]],2,FALSE),0)</f>
        <v>Auxiliar Administrativo</v>
      </c>
      <c r="C31" s="236" t="str">
        <f>IFERROR(VLOOKUP(A31,Planejamento2025[[#Data],[#Totals]],24,FALSE),0)</f>
        <v>R$ 0,00</v>
      </c>
      <c r="D31" s="240">
        <f>IFERROR(VLOOKUP(A31,'RH '!$A$4:$I$27,9,FALSE),0)</f>
        <v>0</v>
      </c>
      <c r="E31" s="236">
        <f>IFERROR(VLOOKUP(A31,Insumos!$A$3:$I$10,9,FALSE),0)</f>
        <v>0</v>
      </c>
    </row>
    <row r="32" spans="1:7" x14ac:dyDescent="0.25">
      <c r="A32" s="42" t="str">
        <f>Planejamento2025[[#This Row],[ID]]</f>
        <v>EscLid_T1</v>
      </c>
      <c r="B32" s="233" t="str">
        <f>IFERROR(VLOOKUP(A32,Planejamento2025[[#Data],[#Totals]],2,FALSE),0)</f>
        <v>Escola de Líderes</v>
      </c>
      <c r="C32" s="236" t="str">
        <f>IFERROR(VLOOKUP(A32,Planejamento2025[[#Data],[#Totals]],24,FALSE),0)</f>
        <v>R$ 0,00</v>
      </c>
      <c r="D32" s="240">
        <f>IFERROR(VLOOKUP(A32,'RH '!$A$4:$I$27,9,FALSE),0)</f>
        <v>0</v>
      </c>
      <c r="E32" s="236">
        <f>IFERROR(VLOOKUP(A32,Insumos!$A$3:$I$10,9,FALSE),0)</f>
        <v>0</v>
      </c>
    </row>
    <row r="33" spans="1:5" x14ac:dyDescent="0.25">
      <c r="A33" s="42" t="str">
        <f>Planejamento2025[[#This Row],[ID]]</f>
        <v>Por _T1</v>
      </c>
      <c r="B33" s="233" t="str">
        <f>IFERROR(VLOOKUP(A33,Planejamento2025[[#Data],[#Totals]],2,FALSE),0)</f>
        <v>Porteiro</v>
      </c>
      <c r="C33" s="236">
        <f>IFERROR(VLOOKUP(A33,Planejamento2025[[#Data],[#Totals]],24,FALSE),0)</f>
        <v>1425</v>
      </c>
      <c r="D33" s="240">
        <f>IFERROR(VLOOKUP(A33,'RH '!$A$4:$I$27,9,FALSE),0)</f>
        <v>1425</v>
      </c>
      <c r="E33" s="236">
        <f>IFERROR(VLOOKUP(A33,Insumos!$A$3:$I$10,9,FALSE),0)</f>
        <v>0</v>
      </c>
    </row>
    <row r="34" spans="1:5" x14ac:dyDescent="0.25">
      <c r="A34" s="42" t="str">
        <f>Planejamento2025[[#This Row],[ID]]</f>
        <v>MicPow_T1</v>
      </c>
      <c r="B34" s="233" t="str">
        <f>IFERROR(VLOOKUP(A34,Planejamento2025[[#Data],[#Totals]],2,FALSE),0)</f>
        <v>Microsoft Power BI</v>
      </c>
      <c r="C34" s="236">
        <f>IFERROR(VLOOKUP(A34,Planejamento2025[[#Data],[#Totals]],24,FALSE),0)</f>
        <v>1520</v>
      </c>
      <c r="D34" s="240">
        <f>IFERROR(VLOOKUP(A34,'RH '!$A$4:$I$27,9,FALSE),0)</f>
        <v>1282.5</v>
      </c>
      <c r="E34" s="236">
        <f>IFERROR(VLOOKUP(A34,Insumos!$A$3:$I$10,9,FALSE),0)</f>
        <v>0</v>
      </c>
    </row>
    <row r="35" spans="1:5" x14ac:dyDescent="0.25">
      <c r="A35" s="42" t="str">
        <f>Planejamento2025[[#This Row],[ID]]</f>
        <v>Lid _T2</v>
      </c>
      <c r="B35" s="233" t="str">
        <f>IFERROR(VLOOKUP(A35,Planejamento2025[[#Data],[#Totals]],2,FALSE),0)</f>
        <v>Liderança</v>
      </c>
      <c r="C35" s="236" t="str">
        <f>IFERROR(VLOOKUP(A35,Planejamento2025[[#Data],[#Totals]],24,FALSE),0)</f>
        <v>R$ 0,00</v>
      </c>
      <c r="D35" s="240">
        <f>IFERROR(VLOOKUP(A35,'RH '!$A$4:$I$27,9,FALSE),0)</f>
        <v>0</v>
      </c>
      <c r="E35" s="236">
        <f>IFERROR(VLOOKUP(A35,Insumos!$A$3:$I$10,9,FALSE),0)</f>
        <v>0</v>
      </c>
    </row>
    <row r="36" spans="1:5" x14ac:dyDescent="0.25">
      <c r="A36" s="42" t="str">
        <f>Planejamento2025[[#This Row],[ID]]</f>
        <v>Piz _T1</v>
      </c>
      <c r="B36" s="233" t="str">
        <f>IFERROR(VLOOKUP(A36,Planejamento2025[[#Data],[#Totals]],2,FALSE),0)</f>
        <v>Pizzas</v>
      </c>
      <c r="C36" s="236">
        <f>IFERROR(VLOOKUP(A36,Planejamento2025[[#Data],[#Totals]],24,FALSE),0)</f>
        <v>712.5</v>
      </c>
      <c r="D36" s="240">
        <f>IFERROR(VLOOKUP(A36,'RH '!$A$4:$I$27,9,FALSE),0)</f>
        <v>712.5</v>
      </c>
      <c r="E36" s="236">
        <f>IFERROR(VLOOKUP(A36,Insumos!$A$3:$I$10,9,FALSE),0)</f>
        <v>540.92000000000007</v>
      </c>
    </row>
    <row r="37" spans="1:5" x14ac:dyDescent="0.25">
      <c r="A37" s="42" t="str">
        <f>Planejamento2025[[#This Row],[ID]]</f>
        <v>DesSob_T1</v>
      </c>
      <c r="B37" s="233" t="str">
        <f>IFERROR(VLOOKUP(A37,Planejamento2025[[#Data],[#Totals]],2,FALSE),0)</f>
        <v>Design Sobrancelha</v>
      </c>
      <c r="C37" s="236">
        <f>IFERROR(VLOOKUP(A37,Planejamento2025[[#Data],[#Totals]],24,FALSE),0)</f>
        <v>950</v>
      </c>
      <c r="D37" s="240">
        <f>IFERROR(VLOOKUP(A37,'RH '!$A$4:$I$27,9,FALSE),0)</f>
        <v>997.5</v>
      </c>
      <c r="E37" s="236">
        <f>IFERROR(VLOOKUP(A37,Insumos!$A$3:$I$10,9,FALSE),0)</f>
        <v>0</v>
      </c>
    </row>
    <row r="38" spans="1:5" x14ac:dyDescent="0.25">
      <c r="A38" s="42" t="str">
        <f>Planejamento2025[[#This Row],[ID]]</f>
        <v>ComElé_T1</v>
      </c>
      <c r="B38" s="233" t="str">
        <f>IFERROR(VLOOKUP(A38,Planejamento2025[[#Data],[#Totals]],2,FALSE),0)</f>
        <v>Comandos Elétricos</v>
      </c>
      <c r="C38" s="236" t="str">
        <f>IFERROR(VLOOKUP(A38,Planejamento2025[[#Data],[#Totals]],24,FALSE),0)</f>
        <v>R$ 0,00</v>
      </c>
      <c r="D38" s="240">
        <f>IFERROR(VLOOKUP(A38,'RH '!$A$4:$I$27,9,FALSE),0)</f>
        <v>0</v>
      </c>
      <c r="E38" s="236">
        <f>IFERROR(VLOOKUP(A38,Insumos!$A$3:$I$10,9,FALSE),0)</f>
        <v>0</v>
      </c>
    </row>
    <row r="39" spans="1:5" x14ac:dyDescent="0.25">
      <c r="A39" s="42" t="str">
        <f>Planejamento2025[[#This Row],[ID]]</f>
        <v>FerQua_T1</v>
      </c>
      <c r="B39" s="233" t="str">
        <f>IFERROR(VLOOKUP(A39,Planejamento2025[[#Data],[#Totals]],2,FALSE),0)</f>
        <v>Ferramentas Qualidade</v>
      </c>
      <c r="C39" s="236" t="str">
        <f>IFERROR(VLOOKUP(A39,Planejamento2025[[#Data],[#Totals]],24,FALSE),0)</f>
        <v>R$ 0,00</v>
      </c>
      <c r="D39" s="240">
        <f>IFERROR(VLOOKUP(A39,'RH '!$A$4:$I$27,9,FALSE),0)</f>
        <v>0</v>
      </c>
      <c r="E39" s="236">
        <f>IFERROR(VLOOKUP(A39,Insumos!$A$3:$I$10,9,FALSE),0)</f>
        <v>0</v>
      </c>
    </row>
    <row r="40" spans="1:5" x14ac:dyDescent="0.25">
      <c r="A40" s="42" t="str">
        <f>Planejamento2025[[#This Row],[ID]]</f>
        <v>MasFre_T1</v>
      </c>
      <c r="B40" s="233" t="str">
        <f>IFERROR(VLOOKUP(A40,Planejamento2025[[#Data],[#Totals]],2,FALSE),0)</f>
        <v>Massas Frescas e Molhos</v>
      </c>
      <c r="C40" s="236">
        <f>IFERROR(VLOOKUP(A40,Planejamento2025[[#Data],[#Totals]],24,FALSE),0)</f>
        <v>712.5</v>
      </c>
      <c r="D40" s="240">
        <f>IFERROR(VLOOKUP(A40,'RH '!$A$4:$I$27,9,FALSE),0)</f>
        <v>712.5</v>
      </c>
      <c r="E40" s="236">
        <f>IFERROR(VLOOKUP(A40,Insumos!$A$3:$I$10,9,FALSE),0)</f>
        <v>0</v>
      </c>
    </row>
    <row r="41" spans="1:5" x14ac:dyDescent="0.25">
      <c r="A41" s="42" t="str">
        <f>Planejamento2025[[#This Row],[ID]]</f>
        <v>Opede _T1</v>
      </c>
      <c r="B41" s="233" t="str">
        <f>IFERROR(VLOOKUP(A41,Planejamento2025[[#Data],[#Totals]],2,FALSE),0)</f>
        <v>Operador de Logistica</v>
      </c>
      <c r="C41" s="236" t="str">
        <f>IFERROR(VLOOKUP(A41,Planejamento2025[[#Data],[#Totals]],24,FALSE),0)</f>
        <v>R$ 0,00</v>
      </c>
      <c r="D41" s="240">
        <f>IFERROR(VLOOKUP(A41,'RH '!$A$4:$I$27,9,FALSE),0)</f>
        <v>0</v>
      </c>
      <c r="E41" s="236">
        <f>IFERROR(VLOOKUP(A41,Insumos!$A$3:$I$10,9,FALSE),0)</f>
        <v>0</v>
      </c>
    </row>
    <row r="42" spans="1:5" x14ac:dyDescent="0.25">
      <c r="A42" s="42" t="str">
        <f>Planejamento2025[[#This Row],[ID]]</f>
        <v>PlaCon_T2</v>
      </c>
      <c r="B42" s="233" t="str">
        <f>IFERROR(VLOOKUP(A42,Planejamento2025[[#Data],[#Totals]],2,FALSE),0)</f>
        <v>Planejamento Controle de Produção</v>
      </c>
      <c r="C42" s="236" t="str">
        <f>IFERROR(VLOOKUP(A42,Planejamento2025[[#Data],[#Totals]],24,FALSE),0)</f>
        <v>R$ 0,00</v>
      </c>
      <c r="D42" s="240">
        <f>IFERROR(VLOOKUP(A42,'RH '!$A$4:$I$27,9,FALSE),0)</f>
        <v>0</v>
      </c>
      <c r="E42" s="236">
        <f>IFERROR(VLOOKUP(A42,Insumos!$A$3:$I$10,9,FALSE),0)</f>
        <v>0</v>
      </c>
    </row>
    <row r="43" spans="1:5" x14ac:dyDescent="0.25">
      <c r="A43" s="42" t="str">
        <f>Planejamento2025[[#This Row],[ID]]</f>
        <v>Ban _T1</v>
      </c>
      <c r="B43" s="233" t="str">
        <f>IFERROR(VLOOKUP(A43,Planejamento2025[[#Data],[#Totals]],2,FALSE),0)</f>
        <v>Banda</v>
      </c>
      <c r="C43" s="236">
        <f>IFERROR(VLOOKUP(A43,Planejamento2025[[#Data],[#Totals]],24,FALSE),0)</f>
        <v>12896.25</v>
      </c>
      <c r="D43" s="240">
        <f>IFERROR(VLOOKUP(A43,'RH '!$A$4:$I$27,9,FALSE),0)</f>
        <v>7037.92</v>
      </c>
      <c r="E43" s="236">
        <f>IFERROR(VLOOKUP(A43,Insumos!$A$3:$I$10,9,FALSE),0)</f>
        <v>0</v>
      </c>
    </row>
    <row r="44" spans="1:5" x14ac:dyDescent="0.25">
      <c r="A44" s="42" t="str">
        <f>Planejamento2025[[#This Row],[ID]]</f>
        <v>ExcAva_T1</v>
      </c>
      <c r="B44" s="233" t="str">
        <f>IFERROR(VLOOKUP(A44,Planejamento2025[[#Data],[#Totals]],2,FALSE),0)</f>
        <v>Excel Avançado</v>
      </c>
      <c r="C44" s="236"/>
      <c r="D44" s="240"/>
      <c r="E44" s="236">
        <f>IFERROR(VLOOKUP(A44,Insumos!$A$3:$I$10,9,FALSE),0)</f>
        <v>0</v>
      </c>
    </row>
    <row r="45" spans="1:5" x14ac:dyDescent="0.25">
      <c r="A45" s="42" t="str">
        <f>Planejamento2025[[#This Row],[ID]]</f>
        <v>InfBás_T3</v>
      </c>
      <c r="B45" s="233" t="str">
        <f>IFERROR(VLOOKUP(A45,Planejamento2025[[#Data],[#Totals]],2,FALSE),0)</f>
        <v>Informática Básica</v>
      </c>
      <c r="C45" s="236">
        <f>IFERROR(VLOOKUP(A45,Planejamento2025[[#Data],[#Totals]],24,FALSE),0)</f>
        <v>2850</v>
      </c>
      <c r="D45" s="240">
        <f>IFERROR(VLOOKUP(A45,'RH '!$A$4:$I$27,9,FALSE),0)</f>
        <v>0</v>
      </c>
      <c r="E45" s="236">
        <f>IFERROR(VLOOKUP(A45,Insumos!$A$3:$I$10,9,FALSE),0)</f>
        <v>0</v>
      </c>
    </row>
    <row r="46" spans="1:5" x14ac:dyDescent="0.25">
      <c r="A46" s="42" t="str">
        <f>Planejamento2025[[#This Row],[ID]]</f>
        <v>Fut _T1</v>
      </c>
      <c r="B46" s="233" t="str">
        <f>IFERROR(VLOOKUP(A46,Planejamento2025[[#Data],[#Totals]],2,FALSE),0)</f>
        <v>Futsal</v>
      </c>
      <c r="C46" s="236">
        <f>IFERROR(VLOOKUP(A46,Planejamento2025[[#Data],[#Totals]],24,FALSE),0)</f>
        <v>1615</v>
      </c>
      <c r="D46" s="240">
        <f>IFERROR(VLOOKUP(A46,'RH '!$A$4:$I$27,9,FALSE),0)</f>
        <v>1615</v>
      </c>
      <c r="E46" s="236">
        <f>IFERROR(VLOOKUP(A46,Insumos!$A$3:$I$10,9,FALSE),0)</f>
        <v>0</v>
      </c>
    </row>
    <row r="47" spans="1:5" x14ac:dyDescent="0.25">
      <c r="A47" s="42" t="str">
        <f>Planejamento2025[[#This Row],[ID]]</f>
        <v>Fut _T2</v>
      </c>
      <c r="B47" s="233" t="str">
        <f>IFERROR(VLOOKUP(A47,Planejamento2025[[#Data],[#Totals]],2,FALSE),0)</f>
        <v>Futsal</v>
      </c>
      <c r="C47" s="236"/>
      <c r="D47" s="240"/>
      <c r="E47" s="236">
        <f>IFERROR(VLOOKUP(A47,Insumos!$A$3:$I$10,9,FALSE),0)</f>
        <v>0</v>
      </c>
    </row>
    <row r="48" spans="1:5" x14ac:dyDescent="0.25">
      <c r="A48" s="42" t="str">
        <f>Planejamento2025[[#This Row],[ID]]</f>
        <v>PinPre_T1</v>
      </c>
      <c r="B48" s="233" t="str">
        <f>IFERROR(VLOOKUP(A48,Planejamento2025[[#Data],[#Totals]],2,FALSE),0)</f>
        <v>Técnicas para Pintura Predial</v>
      </c>
      <c r="C48" s="236"/>
      <c r="D48" s="240"/>
      <c r="E48" s="236">
        <f>IFERROR(VLOOKUP(A48,Insumos!$A$3:$I$10,9,FALSE),0)</f>
        <v>0</v>
      </c>
    </row>
    <row r="49" spans="1:5" x14ac:dyDescent="0.25">
      <c r="A49" s="42" t="str">
        <f>Planejamento2025[[#This Row],[ID]]</f>
        <v>CosPlanMa_T1</v>
      </c>
      <c r="B49" s="233" t="str">
        <f>IFERROR(VLOOKUP(A49,Planejamento2025[[#Data],[#Totals]],2,FALSE),0)</f>
        <v>Tecnicas de Costura para Tecido Plano e Malha</v>
      </c>
      <c r="C49" s="236" t="str">
        <f>IFERROR(VLOOKUP(A49,Planejamento2025[[#Data],[#Totals]],24,FALSE),0)</f>
        <v>R$ 0,00</v>
      </c>
      <c r="D49" s="240">
        <f>IFERROR(VLOOKUP(A49,'RH '!$A$4:$I$27,9,FALSE),0)</f>
        <v>0</v>
      </c>
      <c r="E49" s="236">
        <f>IFERROR(VLOOKUP(A49,Insumos!$A$3:$I$10,9,FALSE),0)</f>
        <v>0</v>
      </c>
    </row>
    <row r="50" spans="1:5" x14ac:dyDescent="0.25">
      <c r="A50" s="42" t="str">
        <f>Planejamento2025[[#This Row],[ID]]</f>
        <v>LeiInt_T1</v>
      </c>
      <c r="B50" s="233" t="str">
        <f>IFERROR(VLOOKUP(A50,Planejamento2025[[#Data],[#Totals]],2,FALSE),0)</f>
        <v>Leitura Interpretação de Desenho Técnico Mecânico</v>
      </c>
      <c r="C50" s="236" t="str">
        <f>IFERROR(VLOOKUP(A50,Planejamento2025[[#Data],[#Totals]],24,FALSE),0)</f>
        <v>R$ 0,00</v>
      </c>
      <c r="D50" s="240">
        <f>IFERROR(VLOOKUP(A50,'RH '!$A$4:$I$27,9,FALSE),0)</f>
        <v>0</v>
      </c>
      <c r="E50" s="236">
        <f>IFERROR(VLOOKUP(A50,Insumos!$A$3:$I$10,9,FALSE),0)</f>
        <v>0</v>
      </c>
    </row>
    <row r="51" spans="1:5" x14ac:dyDescent="0.25">
      <c r="A51" s="42" t="str">
        <f>Planejamento2025[[#This Row],[ID]]</f>
        <v>ConsRef_T1</v>
      </c>
      <c r="B51" s="233" t="str">
        <f>IFERROR(VLOOKUP(A51,Planejamento2025[[#Data],[#Totals]],2,FALSE),0)</f>
        <v>Costureiro de Conserto e Reforma de Roupas</v>
      </c>
      <c r="C51" s="236" t="str">
        <f>IFERROR(VLOOKUP(A51,Planejamento2025[[#Data],[#Totals]],24,FALSE),0)</f>
        <v>R$ 0,00</v>
      </c>
      <c r="D51" s="240">
        <f>IFERROR(VLOOKUP(A51,'RH '!$A$4:$I$27,9,FALSE),0)</f>
        <v>0</v>
      </c>
      <c r="E51" s="236">
        <f>IFERROR(VLOOKUP(A51,Insumos!$A$3:$I$10,9,FALSE),0)</f>
        <v>0</v>
      </c>
    </row>
    <row r="52" spans="1:5" x14ac:dyDescent="0.25">
      <c r="A52" s="42" t="str">
        <f>Planejamento2025[[#This Row],[ID]]</f>
        <v>PacOff_T4</v>
      </c>
      <c r="B52" s="233" t="str">
        <f>IFERROR(VLOOKUP(A52,Planejamento2025[[#Data],[#Totals]],2,FALSE),0)</f>
        <v>Pacote Office</v>
      </c>
      <c r="C52" s="236">
        <f>IFERROR(VLOOKUP(A52,Planejamento2025[[#Data],[#Totals]],24,FALSE),0)</f>
        <v>4560</v>
      </c>
      <c r="D52" s="240">
        <f>IFERROR(VLOOKUP(A52,'RH '!$A$4:$I$27,9,FALSE),0)</f>
        <v>0</v>
      </c>
      <c r="E52" s="236">
        <f>IFERROR(VLOOKUP(A52,Insumos!$A$3:$I$10,9,FALSE),0)</f>
        <v>0</v>
      </c>
    </row>
    <row r="53" spans="1:5" x14ac:dyDescent="0.25">
      <c r="A53" s="42" t="str">
        <f>Planejamento2025[[#This Row],[ID]]</f>
        <v>DesCap_T1</v>
      </c>
      <c r="B53" s="233" t="str">
        <f>IFERROR(VLOOKUP(A53,Planejamento2025[[#Data],[#Totals]],2,FALSE),0)</f>
        <v>Desenvolvimento Capacidades Socioemocionais</v>
      </c>
      <c r="C53" s="236">
        <f>IFERROR(VLOOKUP(A53,Planejamento2025[[#Data],[#Totals]],24,FALSE),0)</f>
        <v>3800</v>
      </c>
      <c r="D53" s="240">
        <f>IFERROR(VLOOKUP(A53,'RH '!$A$4:$I$27,9,FALSE),0)</f>
        <v>0</v>
      </c>
      <c r="E53" s="236">
        <f>IFERROR(VLOOKUP(A53,Insumos!$A$3:$I$10,9,FALSE),0)</f>
        <v>0</v>
      </c>
    </row>
    <row r="54" spans="1:5" x14ac:dyDescent="0.25">
      <c r="A54" s="42" t="str">
        <f>Planejamento2025[[#This Row],[ID]]</f>
        <v>Maq _T1</v>
      </c>
      <c r="B54" s="233" t="str">
        <f>IFERROR(VLOOKUP(A54,Planejamento2025[[#Data],[#Totals]],2,FALSE),0)</f>
        <v>Maquiagem</v>
      </c>
      <c r="C54" s="236">
        <f>IFERROR(VLOOKUP(A54,Planejamento2025[[#Data],[#Totals]],24,FALSE),0)</f>
        <v>1900</v>
      </c>
      <c r="D54" s="240">
        <f>IFERROR(VLOOKUP(A54,'RH '!$A$4:$I$27,9,FALSE),0)</f>
        <v>0</v>
      </c>
      <c r="E54" s="236">
        <f>IFERROR(VLOOKUP(A54,Insumos!$A$3:$I$10,9,FALSE),0)</f>
        <v>0</v>
      </c>
    </row>
    <row r="55" spans="1:5" x14ac:dyDescent="0.25">
      <c r="A55" s="42" t="str">
        <f>Planejamento2025[[#This Row],[ID]]</f>
        <v>Bolno _T1</v>
      </c>
      <c r="B55" s="233" t="str">
        <f>IFERROR(VLOOKUP(A55,Planejamento2025[[#Data],[#Totals]],2,FALSE),0)</f>
        <v>Bolo no Pote</v>
      </c>
      <c r="C55" s="236">
        <f>IFERROR(VLOOKUP(A55,Planejamento2025[[#Data],[#Totals]],24,FALSE),0)</f>
        <v>855</v>
      </c>
      <c r="D55" s="240">
        <f>IFERROR(VLOOKUP(A55,'RH '!$A$4:$I$27,9,FALSE),0)</f>
        <v>0</v>
      </c>
      <c r="E55" s="236">
        <f>IFERROR(VLOOKUP(A55,Insumos!$A$3:$I$10,9,FALSE),0)</f>
        <v>0</v>
      </c>
    </row>
    <row r="56" spans="1:5" x14ac:dyDescent="0.25">
      <c r="A56" s="42" t="str">
        <f>Planejamento2025[[#This Row],[ID]]</f>
        <v>ComElé_T2</v>
      </c>
      <c r="B56" s="233" t="str">
        <f>IFERROR(VLOOKUP(A56,Planejamento2025[[#Data],[#Totals]],2,FALSE),0)</f>
        <v>Comandos Elétricos</v>
      </c>
      <c r="C56" s="236" t="str">
        <f>IFERROR(VLOOKUP(A56,Planejamento2025[[#Data],[#Totals]],24,FALSE),0)</f>
        <v>R$ 0,00</v>
      </c>
      <c r="D56" s="240">
        <f>IFERROR(VLOOKUP(A56,'RH '!$A$4:$I$27,9,FALSE),0)</f>
        <v>0</v>
      </c>
      <c r="E56" s="236">
        <f>IFERROR(VLOOKUP(A56,Insumos!$A$3:$I$10,9,FALSE),0)</f>
        <v>0</v>
      </c>
    </row>
    <row r="57" spans="1:5" x14ac:dyDescent="0.25">
      <c r="A57" s="42" t="str">
        <f>Planejamento2025[[#This Row],[ID]]</f>
        <v>InfBás_T4</v>
      </c>
      <c r="B57" s="233" t="str">
        <f>IFERROR(VLOOKUP(A57,Planejamento2025[[#Data],[#Totals]],2,FALSE),0)</f>
        <v>Informática Básica</v>
      </c>
      <c r="C57" s="236">
        <f>IFERROR(VLOOKUP(A57,Planejamento2025[[#Data],[#Totals]],24,FALSE),0)</f>
        <v>2850</v>
      </c>
      <c r="D57" s="240">
        <f>IFERROR(VLOOKUP(A57,'RH '!$A$4:$I$27,9,FALSE),0)</f>
        <v>0</v>
      </c>
      <c r="E57" s="236">
        <f>IFERROR(VLOOKUP(A57,Insumos!$A$3:$I$10,9,FALSE),0)</f>
        <v>0</v>
      </c>
    </row>
    <row r="58" spans="1:5" x14ac:dyDescent="0.25">
      <c r="A58" s="42" t="str">
        <f>Planejamento2025[[#This Row],[ID]]</f>
        <v>Excno _T1</v>
      </c>
      <c r="B58" s="233" t="str">
        <f>IFERROR(VLOOKUP(A58,Planejamento2025[[#Data],[#Totals]],2,FALSE),0)</f>
        <v>Excelência no Atendimento</v>
      </c>
      <c r="C58" s="236">
        <f>IFERROR(VLOOKUP(A58,Planejamento2025[[#Data],[#Totals]],24,FALSE),0)</f>
        <v>950</v>
      </c>
      <c r="D58" s="240">
        <f>IFERROR(VLOOKUP(A58,'RH '!$A$4:$I$27,9,FALSE),0)</f>
        <v>0</v>
      </c>
      <c r="E58" s="236">
        <f>IFERROR(VLOOKUP(A58,Insumos!$A$3:$I$10,9,FALSE),0)</f>
        <v>0</v>
      </c>
    </row>
    <row r="59" spans="1:5" x14ac:dyDescent="0.25">
      <c r="A59" s="42" t="str">
        <f>Planejamento2025[[#This Row],[ID]]</f>
        <v>RotAdm_T1</v>
      </c>
      <c r="B59" s="233" t="str">
        <f>IFERROR(VLOOKUP(A59,Planejamento2025[[#Data],[#Totals]],2,FALSE),0)</f>
        <v>Rotinas Administrativas</v>
      </c>
      <c r="C59" s="290">
        <f>IFERROR(VLOOKUP(A59,Planejamento2025[[#Data],[#Totals]],24,FALSE),0)</f>
        <v>4750</v>
      </c>
      <c r="D59" s="291">
        <f>IFERROR(VLOOKUP(A59,'RH '!$A$4:$I$27,9,FALSE),0)</f>
        <v>0</v>
      </c>
      <c r="E59" s="290">
        <f>IFERROR(VLOOKUP(A59,Insumos!$A$3:$I$10,9,FALSE),0)</f>
        <v>0</v>
      </c>
    </row>
    <row r="60" spans="1:5" x14ac:dyDescent="0.25">
      <c r="A60" s="42" t="str">
        <f>Planejamento2025[[#This Row],[ID]]</f>
        <v>Gin _T1</v>
      </c>
      <c r="B60" s="233" t="str">
        <f>IFERROR(VLOOKUP(A60,Planejamento2025[[#Data],[#Totals]],2,FALSE),0)</f>
        <v>Ginastica</v>
      </c>
      <c r="C60" s="236"/>
      <c r="D60" s="240"/>
      <c r="E60" s="236">
        <f>IFERROR(VLOOKUP(A60,Insumos!$A$3:$I$10,9,FALSE),0)</f>
        <v>0</v>
      </c>
    </row>
    <row r="61" spans="1:5" x14ac:dyDescent="0.25">
      <c r="A61" s="42" t="str">
        <f>Planejamento2025[[#This Row],[ID]]</f>
        <v>Tea _T1</v>
      </c>
      <c r="B61" s="233" t="str">
        <f>IFERROR(VLOOKUP(A61,Planejamento2025[[#Data],[#Totals]],2,FALSE),0)</f>
        <v>Teatro</v>
      </c>
      <c r="C61" s="236"/>
      <c r="D61" s="240"/>
      <c r="E61" s="236">
        <f>IFERROR(VLOOKUP(A61,Insumos!$A$3:$I$10,9,FALSE),0)</f>
        <v>0</v>
      </c>
    </row>
    <row r="62" spans="1:5" x14ac:dyDescent="0.25">
      <c r="A62" s="42" t="str">
        <f>Planejamento2025[[#This Row],[ID]]</f>
        <v>Monde _T1</v>
      </c>
      <c r="B62" s="233" t="str">
        <f>IFERROR(VLOOKUP(A62,Planejamento2025[[#Data],[#Totals]],2,FALSE),0)</f>
        <v>Montagem de Painéis Elétricos</v>
      </c>
      <c r="C62" s="236" t="str">
        <f>IFERROR(VLOOKUP(A62,Planejamento2025[[#Data],[#Totals]],24,FALSE),0)</f>
        <v>R$ 0,00</v>
      </c>
      <c r="D62" s="240">
        <f>IFERROR(VLOOKUP(A62,'RH '!$A$4:$I$27,9,FALSE),0)</f>
        <v>0</v>
      </c>
      <c r="E62" s="236">
        <f>IFERROR(VLOOKUP(A62,Insumos!$A$3:$I$10,9,FALSE),0)</f>
        <v>0</v>
      </c>
    </row>
    <row r="63" spans="1:5" x14ac:dyDescent="0.25">
      <c r="A63" s="42" t="str">
        <f>Planejamento2025[[#This Row],[ID]]</f>
        <v>EleIns_T2</v>
      </c>
      <c r="B63" s="233" t="str">
        <f>IFERROR(VLOOKUP(A63,Planejamento2025[[#Data],[#Totals]],2,FALSE),0)</f>
        <v>Eletricista Instalador</v>
      </c>
      <c r="C63" s="236" t="str">
        <f>IFERROR(VLOOKUP(A63,Planejamento2025[[#Data],[#Totals]],24,FALSE),0)</f>
        <v>R$ 0,00</v>
      </c>
      <c r="D63" s="240">
        <f>IFERROR(VLOOKUP(A63,'RH '!$A$4:$I$27,9,FALSE),0)</f>
        <v>0</v>
      </c>
      <c r="E63" s="236">
        <f>IFERROR(VLOOKUP(A63,Insumos!$A$3:$I$10,9,FALSE),0)</f>
        <v>0</v>
      </c>
    </row>
    <row r="64" spans="1:5" x14ac:dyDescent="0.25">
      <c r="A64" s="42" t="str">
        <f>Planejamento2025[[#This Row],[ID]]</f>
        <v>Ing _T3</v>
      </c>
      <c r="B64" s="233" t="str">
        <f>IFERROR(VLOOKUP(A64,Planejamento2025[[#Data],[#Totals]],2,FALSE),0)</f>
        <v>Inglês</v>
      </c>
      <c r="C64" s="236">
        <f>IFERROR(VLOOKUP(A64,Planejamento2025[[#Data],[#Totals]],24,FALSE),0)</f>
        <v>1710</v>
      </c>
      <c r="D64" s="240">
        <f>IFERROR(VLOOKUP(A64,'RH '!$A$4:$I$27,9,FALSE),0)</f>
        <v>0</v>
      </c>
      <c r="E64" s="236">
        <f>IFERROR(VLOOKUP(A64,Insumos!$A$3:$I$10,9,FALSE),0)</f>
        <v>0</v>
      </c>
    </row>
    <row r="65" spans="1:5" x14ac:dyDescent="0.25">
      <c r="A65" s="42" t="str">
        <f>Planejamento2025[[#This Row],[ID]]</f>
        <v>PacOff_T5</v>
      </c>
      <c r="B65" s="233" t="str">
        <f>IFERROR(VLOOKUP(A65,Planejamento2025[[#Data],[#Totals]],2,FALSE),0)</f>
        <v>Pacote Office</v>
      </c>
      <c r="C65" s="236" t="str">
        <f>IFERROR(VLOOKUP(A65,Planejamento2025[[#Data],[#Totals]],24,FALSE),0)</f>
        <v>R$ 0,00</v>
      </c>
      <c r="D65" s="240">
        <f>IFERROR(VLOOKUP(A65,'RH '!$A$4:$I$27,9,FALSE),0)</f>
        <v>0</v>
      </c>
      <c r="E65" s="236">
        <f>IFERROR(VLOOKUP(A65,Insumos!$A$3:$I$10,9,FALSE),0)</f>
        <v>0</v>
      </c>
    </row>
    <row r="66" spans="1:5" x14ac:dyDescent="0.25">
      <c r="A66" s="42" t="str">
        <f>Planejamento2025[[#This Row],[ID]]</f>
        <v>SalFri_T1</v>
      </c>
      <c r="B66" s="233" t="str">
        <f>IFERROR(VLOOKUP(A66,Planejamento2025[[#Data],[#Totals]],2,FALSE),0)</f>
        <v>Salgados Fritos</v>
      </c>
      <c r="C66" s="236">
        <f>IFERROR(VLOOKUP(A66,Planejamento2025[[#Data],[#Totals]],24,FALSE),0)</f>
        <v>855</v>
      </c>
      <c r="D66" s="240">
        <f>IFERROR(VLOOKUP(A66,'RH '!$A$4:$I$27,9,FALSE),0)</f>
        <v>0</v>
      </c>
      <c r="E66" s="236">
        <f>IFERROR(VLOOKUP(A66,Insumos!$A$3:$I$10,9,FALSE),0)</f>
        <v>0</v>
      </c>
    </row>
    <row r="67" spans="1:5" x14ac:dyDescent="0.25">
      <c r="A67" s="42" t="str">
        <f>Planejamento2025[[#This Row],[ID]]</f>
        <v>PowBI_T2</v>
      </c>
      <c r="B67" s="233" t="str">
        <f>IFERROR(VLOOKUP(A67,Planejamento2025[[#Data],[#Totals]],2,FALSE),0)</f>
        <v>Power BI</v>
      </c>
      <c r="C67" s="236" t="str">
        <f>IFERROR(VLOOKUP(A67,Planejamento2025[[#Data],[#Totals]],24,FALSE),0)</f>
        <v>R$ 0,00</v>
      </c>
      <c r="D67" s="240">
        <f>IFERROR(VLOOKUP(A67,'RH '!$A$4:$I$27,9,FALSE),0)</f>
        <v>0</v>
      </c>
      <c r="E67" s="236">
        <f>IFERROR(VLOOKUP(A67,Insumos!$A$3:$I$10,9,FALSE),0)</f>
        <v>0</v>
      </c>
    </row>
    <row r="68" spans="1:5" x14ac:dyDescent="0.25">
      <c r="A68" s="42" t="str">
        <f>Planejamento2025[[#This Row],[ID]]</f>
        <v>Elade _T1</v>
      </c>
      <c r="B68" s="233" t="str">
        <f>IFERROR(VLOOKUP(A68,Planejamento2025[[#Data],[#Totals]],2,FALSE),0)</f>
        <v>Elaboração de Laudos Para Instalações Elétricas</v>
      </c>
      <c r="C68" s="236" t="str">
        <f>IFERROR(VLOOKUP(A68,Planejamento2025[[#Data],[#Totals]],24,FALSE),0)</f>
        <v>R$ 0,00</v>
      </c>
      <c r="D68" s="240">
        <f>IFERROR(VLOOKUP(A68,'RH '!$A$4:$I$27,9,FALSE),0)</f>
        <v>0</v>
      </c>
      <c r="E68" s="236">
        <f>IFERROR(VLOOKUP(A68,Insumos!$A$3:$I$10,9,FALSE),0)</f>
        <v>0</v>
      </c>
    </row>
    <row r="69" spans="1:5" x14ac:dyDescent="0.25">
      <c r="A69" s="42" t="str">
        <f>Planejamento2025[[#This Row],[ID]]</f>
        <v>Kai _T1</v>
      </c>
      <c r="B69" s="233" t="str">
        <f>IFERROR(VLOOKUP(A69,Planejamento2025[[#Data],[#Totals]],2,FALSE),0)</f>
        <v>Kaizen</v>
      </c>
      <c r="C69" s="236" t="str">
        <f>IFERROR(VLOOKUP(A69,Planejamento2025[[#Data],[#Totals]],24,FALSE),0)</f>
        <v>R$ 0,00</v>
      </c>
      <c r="D69" s="240">
        <f>IFERROR(VLOOKUP(A69,'RH '!$A$4:$I$27,9,FALSE),0)</f>
        <v>0</v>
      </c>
      <c r="E69" s="236">
        <f>IFERROR(VLOOKUP(A69,Insumos!$A$3:$I$10,9,FALSE),0)</f>
        <v>0</v>
      </c>
    </row>
    <row r="70" spans="1:5" x14ac:dyDescent="0.25">
      <c r="A70" s="42" t="str">
        <f>Planejamento2025[[#This Row],[ID]]</f>
        <v>Piz _T2</v>
      </c>
      <c r="B70" s="233" t="str">
        <f>IFERROR(VLOOKUP(A70,Planejamento2025[[#Data],[#Totals]],2,FALSE),0)</f>
        <v>Pizzas</v>
      </c>
      <c r="C70" s="236">
        <f>IFERROR(VLOOKUP(A70,Planejamento2025[[#Data],[#Totals]],24,FALSE),0)</f>
        <v>855</v>
      </c>
      <c r="D70" s="240">
        <f>IFERROR(VLOOKUP(A70,'RH '!$A$4:$I$27,9,FALSE),0)</f>
        <v>0</v>
      </c>
      <c r="E70" s="236">
        <f>IFERROR(VLOOKUP(A70,Insumos!$A$3:$I$10,9,FALSE),0)</f>
        <v>0</v>
      </c>
    </row>
    <row r="71" spans="1:5" x14ac:dyDescent="0.25">
      <c r="A71" s="42" t="str">
        <f>Planejamento2025[[#This Row],[ID]]</f>
        <v>Excno _T2</v>
      </c>
      <c r="B71" s="233" t="str">
        <f>IFERROR(VLOOKUP(A71,Planejamento2025[[#Data],[#Totals]],2,FALSE),0)</f>
        <v>Excelência no Atendimento</v>
      </c>
      <c r="C71" s="236">
        <f>IFERROR(VLOOKUP(A71,Planejamento2025[[#Data],[#Totals]],24,FALSE),0)</f>
        <v>950</v>
      </c>
      <c r="D71" s="240">
        <f>IFERROR(VLOOKUP(A71,'RH '!$A$4:$I$27,9,FALSE),0)</f>
        <v>0</v>
      </c>
      <c r="E71" s="236">
        <f>IFERROR(VLOOKUP(A71,Insumos!$A$3:$I$10,9,FALSE),0)</f>
        <v>0</v>
      </c>
    </row>
    <row r="72" spans="1:5" x14ac:dyDescent="0.25">
      <c r="A72" s="42" t="str">
        <f>Planejamento2025[[#This Row],[ID]]</f>
        <v>Lid _T3</v>
      </c>
      <c r="B72" s="233" t="str">
        <f>IFERROR(VLOOKUP(A72,Planejamento2025[[#Data],[#Totals]],2,FALSE),0)</f>
        <v>Liderança</v>
      </c>
      <c r="C72" s="236" t="str">
        <f>IFERROR(VLOOKUP(A72,Planejamento2025[[#Data],[#Totals]],24,FALSE),0)</f>
        <v>R$ 0,00</v>
      </c>
      <c r="D72" s="240">
        <f>IFERROR(VLOOKUP(A72,'RH '!$A$4:$I$27,9,FALSE),0)</f>
        <v>0</v>
      </c>
      <c r="E72" s="236">
        <f>IFERROR(VLOOKUP(A72,Insumos!$A$3:$I$10,9,FALSE),0)</f>
        <v>0</v>
      </c>
    </row>
    <row r="73" spans="1:5" x14ac:dyDescent="0.25">
      <c r="A73" s="42" t="str">
        <f>Planejamento2025[[#This Row],[ID]]</f>
        <v>AnáTer_T1</v>
      </c>
      <c r="B73" s="233" t="str">
        <f>IFERROR(VLOOKUP(A73,Planejamento2025[[#Data],[#Totals]],2,FALSE),0)</f>
        <v>Análise Termográfica</v>
      </c>
      <c r="C73" s="236" t="str">
        <f>IFERROR(VLOOKUP(A73,Planejamento2025[[#Data],[#Totals]],24,FALSE),0)</f>
        <v>R$ 0,00</v>
      </c>
      <c r="D73" s="240">
        <f>IFERROR(VLOOKUP(A73,'RH '!$A$4:$I$27,9,FALSE),0)</f>
        <v>0</v>
      </c>
      <c r="E73" s="236">
        <f>IFERROR(VLOOKUP(A73,Insumos!$A$3:$I$10,9,FALSE),0)</f>
        <v>0</v>
      </c>
    </row>
    <row r="74" spans="1:5" x14ac:dyDescent="0.25">
      <c r="A74" s="42" t="str">
        <f>Planejamento2025[[#This Row],[ID]]</f>
        <v>PrevInc_T1</v>
      </c>
      <c r="B74" s="233" t="str">
        <f>IFERROR(VLOOKUP(A74,Planejamento2025[[#Data],[#Totals]],2,FALSE),0)</f>
        <v>Prevenção a Incêndio</v>
      </c>
      <c r="C74" s="236" t="str">
        <f>IFERROR(VLOOKUP(A74,Planejamento2025[[#Data],[#Totals]],24,FALSE),0)</f>
        <v>R$ 0,00</v>
      </c>
      <c r="D74" s="240">
        <f>IFERROR(VLOOKUP(A74,'RH '!$A$4:$I$27,9,FALSE),0)</f>
        <v>0</v>
      </c>
      <c r="E74" s="236">
        <f>IFERROR(VLOOKUP(A74,Insumos!$A$3:$I$10,9,FALSE),0)</f>
        <v>0</v>
      </c>
    </row>
    <row r="75" spans="1:5" x14ac:dyDescent="0.25">
      <c r="A75" s="42" t="str">
        <f>Planejamento2025[[#This Row],[ID]]</f>
        <v>IngAva_T1</v>
      </c>
      <c r="B75" s="233" t="str">
        <f>IFERROR(VLOOKUP(A75,Planejamento2025[[#Data],[#Totals]],2,FALSE),0)</f>
        <v>Inglês Avançado</v>
      </c>
      <c r="C75" s="236">
        <f>IFERROR(VLOOKUP(A75,Planejamento2025[[#Data],[#Totals]],24,FALSE),0)</f>
        <v>712.5</v>
      </c>
      <c r="D75" s="240">
        <f>IFERROR(VLOOKUP(A75,'RH '!$A$4:$I$27,9,FALSE),0)</f>
        <v>0</v>
      </c>
      <c r="E75" s="236">
        <f>IFERROR(VLOOKUP(A75,Insumos!$A$3:$I$10,9,FALSE),0)</f>
        <v>0</v>
      </c>
    </row>
    <row r="76" spans="1:5" x14ac:dyDescent="0.25">
      <c r="A76" s="42" t="str">
        <f>Planejamento2025[[#This Row],[ID]]</f>
        <v>Pan _T1</v>
      </c>
      <c r="B76" s="233" t="str">
        <f>IFERROR(VLOOKUP(A76,Planejamento2025[[#Data],[#Totals]],2,FALSE),0)</f>
        <v>Panetones</v>
      </c>
      <c r="C76" s="236">
        <f>IFERROR(VLOOKUP(A76,Planejamento2025[[#Data],[#Totals]],24,FALSE),0)</f>
        <v>855</v>
      </c>
      <c r="D76" s="240">
        <f>IFERROR(VLOOKUP(A76,'RH '!$A$4:$I$27,9,FALSE),0)</f>
        <v>0</v>
      </c>
      <c r="E76" s="236">
        <f>IFERROR(VLOOKUP(A76,Insumos!$A$3:$I$10,9,FALSE),0)</f>
        <v>0</v>
      </c>
    </row>
    <row r="77" spans="1:5" x14ac:dyDescent="0.25">
      <c r="A77" s="42" t="str">
        <f>Planejamento2025[[#This Row],[ID]]</f>
        <v>ExcBás_T2</v>
      </c>
      <c r="B77" s="233" t="str">
        <f>IFERROR(VLOOKUP(A77,Planejamento2025[[#Data],[#Totals]],2,FALSE),0)</f>
        <v>Excel Básico</v>
      </c>
      <c r="C77" s="236" t="str">
        <f>IFERROR(VLOOKUP(A77,Planejamento2025[[#Data],[#Totals]],24,FALSE),0)</f>
        <v>R$ 0,00</v>
      </c>
      <c r="D77" s="240">
        <f>IFERROR(VLOOKUP(A77,'RH '!$A$4:$I$27,9,FALSE),0)</f>
        <v>0</v>
      </c>
      <c r="E77" s="236">
        <f>IFERROR(VLOOKUP(A77,Insumos!$A$3:$I$10,9,FALSE),0)</f>
        <v>0</v>
      </c>
    </row>
    <row r="78" spans="1:5" x14ac:dyDescent="0.25">
      <c r="A78" s="42" t="str">
        <f>Planejamento2025[[#This Row],[ID]]</f>
        <v>SorArt_T2</v>
      </c>
      <c r="B78" s="233" t="str">
        <f>IFERROR(VLOOKUP(A78,Planejamento2025[[#Data],[#Totals]],2,FALSE),0)</f>
        <v>Sorvetes Artesanais</v>
      </c>
      <c r="C78" s="236">
        <f>IFERROR(VLOOKUP(A78,Planejamento2025[[#Data],[#Totals]],24,FALSE),0)</f>
        <v>855</v>
      </c>
      <c r="D78" s="240">
        <f>IFERROR(VLOOKUP(A78,'RH '!$A$4:$I$27,9,FALSE),0)</f>
        <v>0</v>
      </c>
      <c r="E78" s="236">
        <f>IFERROR(VLOOKUP(A78,Insumos!$A$3:$I$10,9,FALSE),0)</f>
        <v>0</v>
      </c>
    </row>
    <row r="79" spans="1:5" x14ac:dyDescent="0.25">
      <c r="A79" s="42" t="str">
        <f>Planejamento2025[[#This Row],[ID]]</f>
        <v>ManPro_T1</v>
      </c>
      <c r="B79" s="233" t="str">
        <f>IFERROR(VLOOKUP(A79,Planejamento2025[[#Data],[#Totals]],2,FALSE),0)</f>
        <v>Manutenção Produtiva Total</v>
      </c>
      <c r="C79" s="236" t="str">
        <f>IFERROR(VLOOKUP(A79,Planejamento2025[[#Data],[#Totals]],24,FALSE),0)</f>
        <v>R$ 0,00</v>
      </c>
      <c r="D79" s="240">
        <f>IFERROR(VLOOKUP(A79,'RH '!$A$4:$I$27,9,FALSE),0)</f>
        <v>0</v>
      </c>
      <c r="E79" s="236">
        <f>IFERROR(VLOOKUP(A79,Insumos!$A$3:$I$10,9,FALSE),0)</f>
        <v>0</v>
      </c>
    </row>
    <row r="80" spans="1:5" x14ac:dyDescent="0.25">
      <c r="A80" s="400"/>
      <c r="B80" s="289"/>
      <c r="C80" s="301">
        <f>SUBTOTAL(109,Tabela1[Valor Previsto])</f>
        <v>105497.5</v>
      </c>
      <c r="D80" s="301">
        <f>SUBTOTAL(109,Tabela1[Valor RH / Executado])</f>
        <v>64133.34</v>
      </c>
      <c r="E80" s="301">
        <f>SUBTOTAL(109,Tabela1[Valor Insumo / Executado])</f>
        <v>2316.4899999999998</v>
      </c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09" spans="1:1" x14ac:dyDescent="0.25">
      <c r="A109" s="42" t="s">
        <v>250</v>
      </c>
    </row>
    <row r="110" spans="1:1" x14ac:dyDescent="0.25">
      <c r="A110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1" spans="1:1" x14ac:dyDescent="0.25">
      <c r="A111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2" spans="1:1" x14ac:dyDescent="0.25">
      <c r="A112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3" spans="1:1" x14ac:dyDescent="0.25">
      <c r="A113"/>
    </row>
  </sheetData>
  <conditionalFormatting sqref="A1:A1048576">
    <cfRule type="duplicateValues" dxfId="147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472F1-DBCE-4682-8200-D659EA697644}">
  <sheetPr codeName="Planilha12"/>
  <dimension ref="A1:P49"/>
  <sheetViews>
    <sheetView workbookViewId="0">
      <selection activeCell="K23" sqref="K23"/>
    </sheetView>
  </sheetViews>
  <sheetFormatPr defaultRowHeight="15" x14ac:dyDescent="0.25"/>
  <cols>
    <col min="1" max="1" width="11.5703125" bestFit="1" customWidth="1"/>
    <col min="2" max="2" width="58.42578125" bestFit="1" customWidth="1"/>
    <col min="3" max="3" width="15.140625" bestFit="1" customWidth="1"/>
    <col min="4" max="4" width="12.140625" bestFit="1" customWidth="1"/>
    <col min="5" max="6" width="13.28515625" bestFit="1" customWidth="1"/>
    <col min="7" max="7" width="15" style="211" customWidth="1"/>
    <col min="8" max="8" width="12.140625" style="211" bestFit="1" customWidth="1"/>
    <col min="9" max="9" width="13.7109375" style="235" bestFit="1" customWidth="1"/>
    <col min="10" max="11" width="12.140625" bestFit="1" customWidth="1"/>
    <col min="14" max="14" width="34.140625" customWidth="1"/>
    <col min="15" max="16" width="12.140625" bestFit="1" customWidth="1"/>
  </cols>
  <sheetData>
    <row r="1" spans="1:16" ht="14.25" customHeight="1" x14ac:dyDescent="0.25">
      <c r="C1" s="270">
        <v>45689</v>
      </c>
      <c r="D1" s="270">
        <v>45717</v>
      </c>
      <c r="E1" s="270">
        <v>45748</v>
      </c>
      <c r="F1" s="270">
        <v>45778</v>
      </c>
      <c r="G1" s="276">
        <v>45809</v>
      </c>
      <c r="H1" s="276">
        <v>45839</v>
      </c>
      <c r="I1" s="271" t="s">
        <v>295</v>
      </c>
    </row>
    <row r="2" spans="1:16" ht="29.25" customHeight="1" x14ac:dyDescent="0.25">
      <c r="A2" s="214"/>
      <c r="B2" s="214"/>
      <c r="C2" s="261" t="s">
        <v>294</v>
      </c>
      <c r="D2" s="261" t="s">
        <v>294</v>
      </c>
      <c r="E2" s="261" t="s">
        <v>294</v>
      </c>
      <c r="F2" s="261" t="s">
        <v>294</v>
      </c>
      <c r="G2" s="277" t="s">
        <v>294</v>
      </c>
      <c r="H2" s="277" t="s">
        <v>294</v>
      </c>
    </row>
    <row r="4" spans="1:16" s="266" customFormat="1" ht="15" customHeight="1" x14ac:dyDescent="0.25">
      <c r="A4" s="226" t="s">
        <v>93</v>
      </c>
      <c r="B4" s="226" t="s">
        <v>284</v>
      </c>
      <c r="C4" s="263"/>
      <c r="D4" s="263"/>
      <c r="E4" s="263"/>
      <c r="F4" s="263"/>
      <c r="G4" s="278"/>
      <c r="H4" s="278"/>
      <c r="I4" s="269"/>
      <c r="N4"/>
      <c r="O4" t="s">
        <v>157</v>
      </c>
      <c r="P4" t="s">
        <v>158</v>
      </c>
    </row>
    <row r="5" spans="1:16" ht="15" customHeight="1" x14ac:dyDescent="0.25">
      <c r="A5" s="243" t="s">
        <v>296</v>
      </c>
      <c r="B5" s="244" t="str">
        <f>VLOOKUP(A5,Planejamento2025[[#Data],[#Totals]],7,FALSE)</f>
        <v>Ronaldo Moro</v>
      </c>
      <c r="C5" s="245"/>
      <c r="D5" s="246">
        <v>1282.5</v>
      </c>
      <c r="E5" s="247">
        <v>1425</v>
      </c>
      <c r="F5" s="274">
        <v>1852.5</v>
      </c>
      <c r="G5" s="274">
        <f>(12*3)*47.5</f>
        <v>1710</v>
      </c>
      <c r="H5" s="274">
        <f>(9*3)*47.5</f>
        <v>1282.5</v>
      </c>
      <c r="I5" s="235">
        <f>SUM(C5:H5)</f>
        <v>7552.5</v>
      </c>
      <c r="N5" s="241" t="s">
        <v>284</v>
      </c>
      <c r="O5" s="242"/>
      <c r="P5" s="242"/>
    </row>
    <row r="6" spans="1:16" ht="15" customHeight="1" x14ac:dyDescent="0.25">
      <c r="A6" s="243" t="s">
        <v>297</v>
      </c>
      <c r="B6" s="244" t="str">
        <f>VLOOKUP(A6,Planejamento2025[[#Data],[#Totals]],7,FALSE)</f>
        <v>Ronaldo Borba</v>
      </c>
      <c r="C6" s="245"/>
      <c r="D6" s="246">
        <v>1282.5</v>
      </c>
      <c r="E6" s="247">
        <v>1282.5</v>
      </c>
      <c r="F6" s="274">
        <v>1852.5</v>
      </c>
      <c r="G6" s="274">
        <v>142.5</v>
      </c>
      <c r="H6" s="274"/>
      <c r="I6" s="235">
        <f t="shared" ref="I6:I26" si="0">SUM(C6:H6)</f>
        <v>4560</v>
      </c>
      <c r="N6" s="244" t="s">
        <v>382</v>
      </c>
      <c r="O6" s="247">
        <v>1710</v>
      </c>
      <c r="P6" s="247">
        <v>1282.5</v>
      </c>
    </row>
    <row r="7" spans="1:16" ht="15" customHeight="1" x14ac:dyDescent="0.25">
      <c r="A7" s="243" t="s">
        <v>298</v>
      </c>
      <c r="B7" s="244" t="str">
        <f>VLOOKUP(A7,Planejamento2025[[#Data],[#Totals]],7,FALSE)</f>
        <v>Ronaldo Borba</v>
      </c>
      <c r="C7" s="245"/>
      <c r="D7" s="246"/>
      <c r="E7" s="247">
        <v>1282.5</v>
      </c>
      <c r="F7" s="274">
        <v>1852.5</v>
      </c>
      <c r="G7" s="274">
        <v>1425</v>
      </c>
      <c r="H7" s="274"/>
      <c r="I7" s="235">
        <f t="shared" si="0"/>
        <v>4560</v>
      </c>
      <c r="K7" s="296"/>
      <c r="N7" s="381" t="s">
        <v>383</v>
      </c>
      <c r="O7" s="247">
        <v>2992.5</v>
      </c>
      <c r="P7" s="247"/>
    </row>
    <row r="8" spans="1:16" ht="15" customHeight="1" x14ac:dyDescent="0.25">
      <c r="A8" s="243" t="s">
        <v>299</v>
      </c>
      <c r="B8" s="244" t="str">
        <f>VLOOKUP(A8,Planejamento2025[[#Data],[#Totals]],7,FALSE)</f>
        <v>Ronaldo Borba</v>
      </c>
      <c r="C8" s="245"/>
      <c r="D8" s="246"/>
      <c r="E8" s="247"/>
      <c r="F8" s="274"/>
      <c r="G8" s="274">
        <v>855</v>
      </c>
      <c r="H8" s="274">
        <v>570</v>
      </c>
      <c r="I8" s="235">
        <f t="shared" si="0"/>
        <v>1425</v>
      </c>
      <c r="N8" s="382" t="s">
        <v>384</v>
      </c>
      <c r="O8" s="252">
        <v>570</v>
      </c>
      <c r="P8" s="252">
        <v>550.21</v>
      </c>
    </row>
    <row r="9" spans="1:16" ht="15" customHeight="1" x14ac:dyDescent="0.25">
      <c r="A9" s="249" t="s">
        <v>302</v>
      </c>
      <c r="B9" s="244" t="str">
        <f>VLOOKUP(A9,Planejamento2025[[#Data],[#Totals]],7,FALSE)</f>
        <v>Edmilton / Juliana / Rafael</v>
      </c>
      <c r="C9" s="250"/>
      <c r="D9" s="275"/>
      <c r="E9" s="384"/>
      <c r="F9" s="275"/>
      <c r="G9" s="384"/>
      <c r="H9" s="384"/>
      <c r="I9" s="385">
        <v>7037.92</v>
      </c>
      <c r="K9" s="296"/>
      <c r="N9" s="382" t="s">
        <v>385</v>
      </c>
      <c r="O9" s="252">
        <v>570</v>
      </c>
      <c r="P9" s="252">
        <v>550.21</v>
      </c>
    </row>
    <row r="10" spans="1:16" ht="15" customHeight="1" x14ac:dyDescent="0.25">
      <c r="A10" s="249" t="s">
        <v>303</v>
      </c>
      <c r="B10" s="244" t="str">
        <f>VLOOKUP(A10,Planejamento2025[[#Data],[#Totals]],7,FALSE)</f>
        <v>Agatha Cristina dos Santos Marcondes</v>
      </c>
      <c r="C10" s="250"/>
      <c r="D10" s="251">
        <f>570/2</f>
        <v>285</v>
      </c>
      <c r="E10" s="252">
        <v>380</v>
      </c>
      <c r="F10" s="275">
        <v>285</v>
      </c>
      <c r="G10" s="384">
        <f>(4*2)*47.5</f>
        <v>380</v>
      </c>
      <c r="H10" s="384">
        <f>(3*2)*47.5</f>
        <v>285</v>
      </c>
      <c r="I10" s="235">
        <f t="shared" si="0"/>
        <v>1615</v>
      </c>
      <c r="J10" s="296"/>
      <c r="N10" s="382" t="s">
        <v>386</v>
      </c>
      <c r="O10" s="252">
        <v>760</v>
      </c>
      <c r="P10" s="252">
        <v>570</v>
      </c>
    </row>
    <row r="11" spans="1:16" ht="15" customHeight="1" x14ac:dyDescent="0.25">
      <c r="A11" s="249" t="s">
        <v>304</v>
      </c>
      <c r="B11" s="244" t="str">
        <f>VLOOKUP(A11,Planejamento2025[[#Data],[#Totals]],7,FALSE)</f>
        <v>Agatha Cristina dos Santos Marcondes</v>
      </c>
      <c r="C11" s="250"/>
      <c r="D11" s="251">
        <v>285</v>
      </c>
      <c r="E11" s="252">
        <f>760/2</f>
        <v>380</v>
      </c>
      <c r="F11" s="275">
        <v>285</v>
      </c>
      <c r="G11" s="384">
        <v>380</v>
      </c>
      <c r="H11" s="384">
        <v>285</v>
      </c>
      <c r="I11" s="235">
        <f t="shared" si="0"/>
        <v>1615</v>
      </c>
      <c r="N11" s="382" t="s">
        <v>387</v>
      </c>
      <c r="O11" s="252">
        <v>1710</v>
      </c>
      <c r="P11" s="252">
        <v>1425</v>
      </c>
    </row>
    <row r="12" spans="1:16" ht="15" customHeight="1" x14ac:dyDescent="0.25">
      <c r="A12" s="249" t="s">
        <v>305</v>
      </c>
      <c r="B12" s="244" t="str">
        <f>VLOOKUP(A12,Planejamento2025[[#Data],[#Totals]],7,FALSE)</f>
        <v>Ana Flavia Eilliar Bianchini</v>
      </c>
      <c r="C12" s="250"/>
      <c r="D12" s="275">
        <v>1282.5</v>
      </c>
      <c r="E12" s="384">
        <v>1282.5</v>
      </c>
      <c r="F12" s="275">
        <v>1852.5</v>
      </c>
      <c r="G12" s="384">
        <v>1710</v>
      </c>
      <c r="H12" s="384">
        <f>(10*3)*47.5</f>
        <v>1425</v>
      </c>
      <c r="I12" s="385">
        <f t="shared" si="0"/>
        <v>7552.5</v>
      </c>
      <c r="N12" s="382" t="s">
        <v>388</v>
      </c>
      <c r="O12" s="384">
        <v>570</v>
      </c>
      <c r="P12" s="384">
        <v>550.21</v>
      </c>
    </row>
    <row r="13" spans="1:16" ht="15" customHeight="1" x14ac:dyDescent="0.25">
      <c r="A13" s="249" t="s">
        <v>306</v>
      </c>
      <c r="B13" s="244" t="str">
        <f>VLOOKUP(A13,Planejamento2025[[#Data],[#Totals]],7,FALSE)</f>
        <v>Wanderly Francisca Nepomuceno</v>
      </c>
      <c r="C13" s="250"/>
      <c r="D13" s="251">
        <v>855</v>
      </c>
      <c r="E13" s="252">
        <v>855</v>
      </c>
      <c r="F13" s="275">
        <v>1425</v>
      </c>
      <c r="G13" s="384">
        <v>570</v>
      </c>
      <c r="H13" s="384"/>
      <c r="I13" s="235">
        <f t="shared" si="0"/>
        <v>3705</v>
      </c>
      <c r="J13" s="296"/>
      <c r="N13" s="382" t="s">
        <v>389</v>
      </c>
      <c r="O13" s="252">
        <v>1140</v>
      </c>
      <c r="P13" s="252">
        <v>427.5</v>
      </c>
    </row>
    <row r="14" spans="1:16" ht="15" customHeight="1" x14ac:dyDescent="0.25">
      <c r="A14" s="249" t="s">
        <v>307</v>
      </c>
      <c r="B14" s="244" t="str">
        <f>VLOOKUP(A14,Planejamento2025[[#Data],[#Totals]],7,FALSE)</f>
        <v>Wanderly Francisca Nepomuceno</v>
      </c>
      <c r="C14" s="250"/>
      <c r="D14" s="251"/>
      <c r="E14" s="252">
        <v>427.5</v>
      </c>
      <c r="F14" s="275">
        <v>427.5</v>
      </c>
      <c r="G14" s="384">
        <v>570</v>
      </c>
      <c r="H14" s="384">
        <v>427.5</v>
      </c>
      <c r="I14" s="235">
        <f t="shared" si="0"/>
        <v>1852.5</v>
      </c>
      <c r="N14" s="249" t="s">
        <v>390</v>
      </c>
      <c r="O14" s="252">
        <v>220</v>
      </c>
      <c r="P14" s="252">
        <v>165</v>
      </c>
    </row>
    <row r="15" spans="1:16" ht="15" customHeight="1" x14ac:dyDescent="0.25">
      <c r="A15" s="249" t="s">
        <v>310</v>
      </c>
      <c r="B15" s="244" t="str">
        <f>VLOOKUP(A15,Planejamento2025[[#Data],[#Totals]],7,FALSE)</f>
        <v>Ingrid de Assis</v>
      </c>
      <c r="C15" s="250"/>
      <c r="D15" s="251">
        <v>165</v>
      </c>
      <c r="E15" s="252">
        <v>220</v>
      </c>
      <c r="F15" s="275">
        <v>220</v>
      </c>
      <c r="G15" s="384">
        <f>4*55</f>
        <v>220</v>
      </c>
      <c r="H15" s="384">
        <v>165</v>
      </c>
      <c r="I15" s="235">
        <f t="shared" si="0"/>
        <v>990</v>
      </c>
      <c r="N15" s="249" t="s">
        <v>391</v>
      </c>
      <c r="O15" s="252">
        <v>712.5</v>
      </c>
      <c r="P15" s="252">
        <v>570</v>
      </c>
    </row>
    <row r="16" spans="1:16" ht="15" customHeight="1" x14ac:dyDescent="0.25">
      <c r="A16" s="249" t="s">
        <v>311</v>
      </c>
      <c r="B16" s="244" t="str">
        <f>VLOOKUP(A16,Planejamento2025[[#Data],[#Totals]],7,FALSE)</f>
        <v>Irene Stephani</v>
      </c>
      <c r="C16" s="250"/>
      <c r="D16" s="251">
        <v>237.5</v>
      </c>
      <c r="E16" s="252">
        <v>427.5</v>
      </c>
      <c r="F16" s="275">
        <v>570</v>
      </c>
      <c r="G16" s="384">
        <f>(2*3)*47.5</f>
        <v>285</v>
      </c>
      <c r="H16" s="384"/>
      <c r="I16" s="235">
        <f t="shared" si="0"/>
        <v>1520</v>
      </c>
      <c r="J16" s="296"/>
      <c r="N16" s="383" t="s">
        <v>392</v>
      </c>
      <c r="O16" s="252"/>
      <c r="P16" s="252"/>
    </row>
    <row r="17" spans="1:16" ht="15" customHeight="1" x14ac:dyDescent="0.25">
      <c r="A17" s="249" t="s">
        <v>319</v>
      </c>
      <c r="B17" s="244" t="str">
        <f>VLOOKUP(A17,Planejamento2025[[#Data],[#Totals]],7,FALSE)</f>
        <v>Irene Stephani</v>
      </c>
      <c r="C17" s="250"/>
      <c r="D17" s="251"/>
      <c r="E17" s="252"/>
      <c r="F17" s="275"/>
      <c r="G17" s="384">
        <f>(3*3)*47.5</f>
        <v>427.5</v>
      </c>
      <c r="H17" s="384">
        <f>(4*3)*47.5</f>
        <v>570</v>
      </c>
      <c r="I17" s="235">
        <f t="shared" si="0"/>
        <v>997.5</v>
      </c>
      <c r="N17" s="249" t="s">
        <v>393</v>
      </c>
      <c r="O17" s="252">
        <v>855</v>
      </c>
      <c r="P17" s="252">
        <v>712.5</v>
      </c>
    </row>
    <row r="18" spans="1:16" ht="15" customHeight="1" x14ac:dyDescent="0.25">
      <c r="A18" s="249" t="s">
        <v>312</v>
      </c>
      <c r="B18" s="244" t="str">
        <f>VLOOKUP(A18,Planejamento2025[[#Data],[#Totals]],7,FALSE)</f>
        <v>Robson da Silva Gonçalves</v>
      </c>
      <c r="C18" s="250"/>
      <c r="D18" s="251">
        <v>855</v>
      </c>
      <c r="E18" s="252">
        <v>855</v>
      </c>
      <c r="F18" s="275">
        <v>1140</v>
      </c>
      <c r="G18" s="384"/>
      <c r="H18" s="384"/>
      <c r="I18" s="235">
        <f t="shared" si="0"/>
        <v>2850</v>
      </c>
      <c r="N18" s="249" t="s">
        <v>394</v>
      </c>
      <c r="O18" s="252">
        <v>380</v>
      </c>
      <c r="P18" s="252">
        <v>380</v>
      </c>
    </row>
    <row r="19" spans="1:16" ht="15" customHeight="1" x14ac:dyDescent="0.25">
      <c r="A19" s="249" t="s">
        <v>313</v>
      </c>
      <c r="B19" s="244" t="str">
        <f>VLOOKUP(A19,Planejamento2025[[#Data],[#Totals]],7,FALSE)</f>
        <v>Danilo Ressutti Mendes</v>
      </c>
      <c r="C19" s="250"/>
      <c r="D19" s="251">
        <v>855</v>
      </c>
      <c r="E19" s="252"/>
      <c r="F19" s="275"/>
      <c r="G19" s="384"/>
      <c r="H19" s="384"/>
      <c r="I19" s="235">
        <f t="shared" si="0"/>
        <v>855</v>
      </c>
      <c r="N19" s="383" t="s">
        <v>395</v>
      </c>
      <c r="O19" s="252">
        <v>1282.5</v>
      </c>
      <c r="P19" s="252"/>
    </row>
    <row r="20" spans="1:16" ht="15" customHeight="1" x14ac:dyDescent="0.25">
      <c r="A20" s="249" t="s">
        <v>314</v>
      </c>
      <c r="B20" s="244" t="str">
        <f>VLOOKUP(A20,Planejamento2025[[#Data],[#Totals]],7,FALSE)</f>
        <v>Danilo Ressutti Mendes</v>
      </c>
      <c r="C20" s="250"/>
      <c r="D20" s="251"/>
      <c r="E20" s="252">
        <v>855</v>
      </c>
      <c r="F20" s="275"/>
      <c r="G20" s="384"/>
      <c r="H20" s="384"/>
      <c r="I20" s="235">
        <f t="shared" si="0"/>
        <v>855</v>
      </c>
      <c r="O20" s="296"/>
    </row>
    <row r="21" spans="1:16" ht="15" customHeight="1" x14ac:dyDescent="0.25">
      <c r="A21" s="249" t="s">
        <v>315</v>
      </c>
      <c r="B21" s="244" t="str">
        <f>VLOOKUP(A21,Planejamento2025[[#Data],[#Totals]],7,FALSE)</f>
        <v>Danilo Ressutti Mendes</v>
      </c>
      <c r="C21" s="250"/>
      <c r="D21" s="251"/>
      <c r="E21" s="252"/>
      <c r="F21" s="275">
        <v>712.5</v>
      </c>
      <c r="G21" s="384"/>
      <c r="H21" s="384"/>
      <c r="I21" s="235">
        <f t="shared" si="0"/>
        <v>712.5</v>
      </c>
    </row>
    <row r="22" spans="1:16" ht="15" customHeight="1" x14ac:dyDescent="0.25">
      <c r="A22" s="249" t="s">
        <v>316</v>
      </c>
      <c r="B22" s="244" t="str">
        <f>VLOOKUP(A22,Planejamento2025[[#Data],[#Totals]],7,FALSE)</f>
        <v>Danilo Ressutti Mendes</v>
      </c>
      <c r="C22" s="250"/>
      <c r="D22" s="251"/>
      <c r="E22" s="252"/>
      <c r="F22" s="275">
        <v>570</v>
      </c>
      <c r="G22" s="384">
        <v>142.5</v>
      </c>
      <c r="H22" s="384"/>
      <c r="I22" s="235">
        <f t="shared" si="0"/>
        <v>712.5</v>
      </c>
      <c r="J22" s="296"/>
    </row>
    <row r="23" spans="1:16" ht="15" customHeight="1" x14ac:dyDescent="0.25">
      <c r="A23" s="249" t="s">
        <v>317</v>
      </c>
      <c r="B23" s="244" t="str">
        <f>VLOOKUP(A23,Planejamento2025[[#Data],[#Totals]],7,FALSE)</f>
        <v>Danilo Ressutti Mendes</v>
      </c>
      <c r="C23" s="250"/>
      <c r="D23" s="251"/>
      <c r="E23" s="252"/>
      <c r="F23" s="275"/>
      <c r="G23" s="384">
        <v>712.5</v>
      </c>
      <c r="H23" s="384"/>
      <c r="I23" s="235">
        <f t="shared" si="0"/>
        <v>712.5</v>
      </c>
    </row>
    <row r="24" spans="1:16" ht="15" customHeight="1" x14ac:dyDescent="0.25">
      <c r="A24" s="249" t="s">
        <v>318</v>
      </c>
      <c r="B24" s="244" t="str">
        <f>VLOOKUP(A24,Planejamento2025[[#Data],[#Totals]],7,FALSE)</f>
        <v>Danilo Ressutti Mendes</v>
      </c>
      <c r="C24" s="250"/>
      <c r="D24" s="251"/>
      <c r="E24" s="252"/>
      <c r="F24" s="275"/>
      <c r="G24" s="384"/>
      <c r="H24" s="384">
        <v>712.5</v>
      </c>
      <c r="I24" s="235">
        <f t="shared" si="0"/>
        <v>712.5</v>
      </c>
    </row>
    <row r="25" spans="1:16" ht="15" customHeight="1" x14ac:dyDescent="0.25">
      <c r="A25" s="249" t="s">
        <v>320</v>
      </c>
      <c r="B25" s="244" t="str">
        <f>VLOOKUP(A25,Planejamento2025[[#Data],[#Totals]],7,FALSE)</f>
        <v>Karina Stolemberger</v>
      </c>
      <c r="C25" s="250"/>
      <c r="D25" s="251">
        <v>285</v>
      </c>
      <c r="E25" s="252">
        <v>285</v>
      </c>
      <c r="F25" s="275">
        <v>475</v>
      </c>
      <c r="G25" s="384">
        <f>(4*2)*47.5</f>
        <v>380</v>
      </c>
      <c r="H25" s="384">
        <v>380</v>
      </c>
      <c r="I25" s="235">
        <f t="shared" si="0"/>
        <v>1805</v>
      </c>
    </row>
    <row r="26" spans="1:16" ht="15" customHeight="1" x14ac:dyDescent="0.25">
      <c r="A26" s="283" t="s">
        <v>277</v>
      </c>
      <c r="B26" s="244" t="str">
        <f>VLOOKUP(A26,Planejamento2025[[#Data],[#Totals]],7,FALSE)</f>
        <v>João Kleber Indena Martins</v>
      </c>
      <c r="C26" s="284"/>
      <c r="D26" s="285"/>
      <c r="E26" s="286"/>
      <c r="F26" s="287"/>
      <c r="G26" s="386">
        <v>1282.5</v>
      </c>
      <c r="H26" s="386"/>
      <c r="I26" s="235">
        <f t="shared" si="0"/>
        <v>1282.5</v>
      </c>
      <c r="K26">
        <v>1567.5</v>
      </c>
    </row>
    <row r="27" spans="1:16" s="266" customFormat="1" ht="15" customHeight="1" thickBot="1" x14ac:dyDescent="0.3">
      <c r="A27" s="262"/>
      <c r="B27" s="262" t="s">
        <v>285</v>
      </c>
      <c r="C27" s="267">
        <f t="shared" ref="C27:I27" si="1">SUM(C4:C25)</f>
        <v>0</v>
      </c>
      <c r="D27" s="267">
        <f t="shared" si="1"/>
        <v>7670</v>
      </c>
      <c r="E27" s="267">
        <f t="shared" si="1"/>
        <v>9957.5</v>
      </c>
      <c r="F27" s="267">
        <f t="shared" si="1"/>
        <v>13520</v>
      </c>
      <c r="G27" s="279">
        <f t="shared" si="1"/>
        <v>9910</v>
      </c>
      <c r="H27" s="279">
        <f t="shared" si="1"/>
        <v>6102.5</v>
      </c>
      <c r="I27" s="279">
        <f t="shared" si="1"/>
        <v>54197.919999999998</v>
      </c>
    </row>
    <row r="28" spans="1:16" ht="15" customHeight="1" thickTop="1" x14ac:dyDescent="0.25">
      <c r="A28" s="241" t="s">
        <v>286</v>
      </c>
      <c r="B28" s="241" t="s">
        <v>287</v>
      </c>
      <c r="C28" s="256"/>
      <c r="D28" s="256"/>
      <c r="E28" s="256"/>
      <c r="F28" s="256"/>
      <c r="G28" s="280"/>
      <c r="H28" s="280"/>
      <c r="I28" s="235">
        <f t="shared" ref="I28:I34" si="2">SUM(C28:H28)</f>
        <v>0</v>
      </c>
    </row>
    <row r="29" spans="1:16" s="213" customFormat="1" ht="15" customHeight="1" x14ac:dyDescent="0.25">
      <c r="A29" s="243"/>
      <c r="B29" s="244" t="s">
        <v>288</v>
      </c>
      <c r="C29" s="258">
        <v>690.33</v>
      </c>
      <c r="D29" s="259">
        <v>30.85</v>
      </c>
      <c r="E29" s="257"/>
      <c r="F29" s="257"/>
      <c r="G29" s="280"/>
      <c r="H29" s="280"/>
      <c r="I29" s="235">
        <f t="shared" si="2"/>
        <v>721.18000000000006</v>
      </c>
    </row>
    <row r="30" spans="1:16" s="266" customFormat="1" ht="15" customHeight="1" thickBot="1" x14ac:dyDescent="0.3">
      <c r="A30" s="226"/>
      <c r="B30" s="262" t="s">
        <v>289</v>
      </c>
      <c r="C30" s="263">
        <f>SUM(C29:C29)</f>
        <v>690.33</v>
      </c>
      <c r="D30" s="264">
        <f>SUM(D29:D29)</f>
        <v>30.85</v>
      </c>
      <c r="E30" s="264">
        <f>SUM(E29:E29)</f>
        <v>0</v>
      </c>
      <c r="F30" s="265"/>
      <c r="G30" s="280"/>
      <c r="H30" s="280"/>
      <c r="I30" s="269"/>
    </row>
    <row r="31" spans="1:16" ht="15" customHeight="1" thickTop="1" x14ac:dyDescent="0.25">
      <c r="A31" s="241" t="s">
        <v>290</v>
      </c>
      <c r="B31" s="241" t="s">
        <v>291</v>
      </c>
      <c r="C31" s="242"/>
      <c r="D31" s="242"/>
      <c r="E31" s="242"/>
      <c r="F31" s="242"/>
      <c r="G31" s="278"/>
      <c r="H31" s="278"/>
    </row>
    <row r="32" spans="1:16" ht="15" customHeight="1" x14ac:dyDescent="0.25">
      <c r="A32" s="243"/>
      <c r="B32" s="258" t="s">
        <v>292</v>
      </c>
      <c r="C32" s="260"/>
      <c r="D32" s="246">
        <v>1855</v>
      </c>
      <c r="E32" s="246">
        <v>1855</v>
      </c>
      <c r="F32" s="248"/>
      <c r="G32" s="281"/>
      <c r="H32" s="281"/>
      <c r="I32" s="235">
        <f t="shared" si="2"/>
        <v>3710</v>
      </c>
    </row>
    <row r="33" spans="1:9" ht="15" customHeight="1" x14ac:dyDescent="0.25">
      <c r="A33" s="249"/>
      <c r="B33" s="258" t="s">
        <v>292</v>
      </c>
      <c r="C33" s="255"/>
      <c r="D33" s="255"/>
      <c r="E33" s="255">
        <v>140</v>
      </c>
      <c r="F33" s="255"/>
      <c r="G33" s="253"/>
      <c r="H33" s="253"/>
      <c r="I33" s="235">
        <f t="shared" si="2"/>
        <v>140</v>
      </c>
    </row>
    <row r="34" spans="1:9" s="266" customFormat="1" ht="15" customHeight="1" thickBot="1" x14ac:dyDescent="0.3">
      <c r="A34" s="268"/>
      <c r="B34" s="262" t="s">
        <v>293</v>
      </c>
      <c r="C34" s="267">
        <f t="shared" ref="C34:H34" si="3">SUM(C31:C33)</f>
        <v>0</v>
      </c>
      <c r="D34" s="267">
        <f t="shared" si="3"/>
        <v>1855</v>
      </c>
      <c r="E34" s="267">
        <f t="shared" si="3"/>
        <v>1995</v>
      </c>
      <c r="F34" s="267">
        <f t="shared" si="3"/>
        <v>0</v>
      </c>
      <c r="G34" s="279">
        <f t="shared" si="3"/>
        <v>0</v>
      </c>
      <c r="H34" s="279">
        <f t="shared" si="3"/>
        <v>0</v>
      </c>
      <c r="I34" s="269">
        <f t="shared" si="2"/>
        <v>3850</v>
      </c>
    </row>
    <row r="35" spans="1:9" ht="15.75" thickTop="1" x14ac:dyDescent="0.25"/>
    <row r="38" spans="1:9" x14ac:dyDescent="0.25">
      <c r="B38" s="272">
        <v>47.5</v>
      </c>
      <c r="C38" t="s">
        <v>300</v>
      </c>
      <c r="D38" t="s">
        <v>301</v>
      </c>
      <c r="E38" t="s">
        <v>155</v>
      </c>
      <c r="F38" t="s">
        <v>156</v>
      </c>
      <c r="G38" s="211" t="s">
        <v>157</v>
      </c>
    </row>
    <row r="39" spans="1:9" x14ac:dyDescent="0.25">
      <c r="B39" s="244" t="s">
        <v>308</v>
      </c>
      <c r="C39">
        <v>6</v>
      </c>
      <c r="D39">
        <v>6</v>
      </c>
      <c r="E39">
        <v>10</v>
      </c>
      <c r="F39">
        <v>4</v>
      </c>
    </row>
    <row r="40" spans="1:9" x14ac:dyDescent="0.25">
      <c r="B40" s="273"/>
      <c r="C40" s="272">
        <f>(C39*3)*B38</f>
        <v>855</v>
      </c>
      <c r="D40" s="272">
        <f>(3*D39)*B38</f>
        <v>855</v>
      </c>
      <c r="E40" s="272">
        <f>(E39*3)*B38</f>
        <v>1425</v>
      </c>
      <c r="F40" s="272">
        <f>(F39*3)*B38</f>
        <v>570</v>
      </c>
    </row>
    <row r="41" spans="1:9" x14ac:dyDescent="0.25">
      <c r="B41" s="272" t="s">
        <v>309</v>
      </c>
      <c r="D41">
        <v>3</v>
      </c>
      <c r="E41">
        <v>3</v>
      </c>
      <c r="F41">
        <v>4</v>
      </c>
      <c r="G41" s="211">
        <v>3</v>
      </c>
    </row>
    <row r="42" spans="1:9" x14ac:dyDescent="0.25">
      <c r="B42" s="272"/>
      <c r="D42" s="272">
        <f>(3*D41)*B38</f>
        <v>427.5</v>
      </c>
      <c r="E42" s="272">
        <f>(3*E41)*B38</f>
        <v>427.5</v>
      </c>
      <c r="F42" s="272">
        <f>(F41*3)*B38</f>
        <v>570</v>
      </c>
      <c r="G42" s="282">
        <f>(G41*3)*B38</f>
        <v>427.5</v>
      </c>
    </row>
    <row r="44" spans="1:9" x14ac:dyDescent="0.25">
      <c r="D44" s="272">
        <f>D40+D42</f>
        <v>1282.5</v>
      </c>
      <c r="E44" s="272">
        <f t="shared" ref="E44:G44" si="4">E40+E42</f>
        <v>1852.5</v>
      </c>
      <c r="F44" s="272">
        <f t="shared" si="4"/>
        <v>1140</v>
      </c>
      <c r="G44" s="282">
        <f t="shared" si="4"/>
        <v>427.5</v>
      </c>
    </row>
    <row r="46" spans="1:9" ht="15" customHeight="1" x14ac:dyDescent="0.25">
      <c r="A46" s="249" t="s">
        <v>302</v>
      </c>
      <c r="B46" s="244" t="s">
        <v>209</v>
      </c>
      <c r="C46" s="250"/>
      <c r="D46" s="251"/>
      <c r="E46" s="252">
        <v>494.79</v>
      </c>
      <c r="F46" s="275">
        <v>712.5</v>
      </c>
      <c r="G46" s="254">
        <f>O8</f>
        <v>570</v>
      </c>
      <c r="H46" s="254">
        <f>P8</f>
        <v>550.21</v>
      </c>
      <c r="I46" s="235">
        <f>SUM(E46:H46)</f>
        <v>2327.5</v>
      </c>
    </row>
    <row r="47" spans="1:9" ht="15" customHeight="1" x14ac:dyDescent="0.25">
      <c r="A47" s="249" t="s">
        <v>302</v>
      </c>
      <c r="B47" s="244" t="s">
        <v>209</v>
      </c>
      <c r="C47" s="250"/>
      <c r="D47" s="251"/>
      <c r="E47" s="252">
        <v>522.5</v>
      </c>
      <c r="F47" s="275">
        <v>712.5</v>
      </c>
      <c r="G47" s="254">
        <f>O9</f>
        <v>570</v>
      </c>
      <c r="H47" s="254">
        <f>P9</f>
        <v>550.21</v>
      </c>
      <c r="I47" s="235">
        <f t="shared" ref="I47:I48" si="5">SUM(E47:H47)</f>
        <v>2355.21</v>
      </c>
    </row>
    <row r="48" spans="1:9" ht="15" customHeight="1" x14ac:dyDescent="0.25">
      <c r="A48" s="249" t="s">
        <v>302</v>
      </c>
      <c r="B48" s="244" t="s">
        <v>209</v>
      </c>
      <c r="C48" s="250"/>
      <c r="D48" s="255"/>
      <c r="E48" s="252">
        <v>522.5</v>
      </c>
      <c r="F48" s="275">
        <v>712.5</v>
      </c>
      <c r="G48" s="254">
        <f>O12</f>
        <v>570</v>
      </c>
      <c r="H48" s="254">
        <f>P12</f>
        <v>550.21</v>
      </c>
      <c r="I48" s="235">
        <f t="shared" si="5"/>
        <v>2355.21</v>
      </c>
    </row>
    <row r="49" spans="9:9" x14ac:dyDescent="0.25">
      <c r="I49" s="235">
        <f>SUM(I46:I48)</f>
        <v>7037.92</v>
      </c>
    </row>
  </sheetData>
  <conditionalFormatting sqref="A1 C1:H1 A2:H2 A4:H34 I27">
    <cfRule type="containsText" dxfId="135" priority="26" operator="containsText" text="Dinheiro">
      <formula>NOT(ISERROR(SEARCH("Dinheiro",A1)))</formula>
    </cfRule>
  </conditionalFormatting>
  <conditionalFormatting sqref="A46:H48">
    <cfRule type="containsText" dxfId="134" priority="2" operator="containsText" text="Dinheiro">
      <formula>NOT(ISERROR(SEARCH("Dinheiro",A46)))</formula>
    </cfRule>
  </conditionalFormatting>
  <conditionalFormatting sqref="B39:B40">
    <cfRule type="containsText" dxfId="133" priority="3" operator="containsText" text="Dinheiro">
      <formula>NOT(ISERROR(SEARCH("Dinheiro",B39)))</formula>
    </cfRule>
  </conditionalFormatting>
  <conditionalFormatting sqref="N5:P19">
    <cfRule type="containsText" dxfId="132" priority="1" operator="containsText" text="Dinheiro">
      <formula>NOT(ISERROR(SEARCH("Dinheiro",N5)))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B3AD-1A48-4289-8283-2B1C9E92032C}">
  <sheetPr codeName="Planilha13"/>
  <dimension ref="A1:I10"/>
  <sheetViews>
    <sheetView workbookViewId="0">
      <selection activeCell="J10" sqref="J10"/>
    </sheetView>
  </sheetViews>
  <sheetFormatPr defaultRowHeight="15" x14ac:dyDescent="0.25"/>
  <cols>
    <col min="1" max="1" width="10.28515625" bestFit="1" customWidth="1"/>
    <col min="2" max="2" width="32" bestFit="1" customWidth="1"/>
    <col min="3" max="5" width="13.28515625" style="234" bestFit="1" customWidth="1"/>
    <col min="6" max="8" width="13.28515625" style="288" bestFit="1" customWidth="1"/>
    <col min="9" max="9" width="12.140625" style="234" bestFit="1" customWidth="1"/>
    <col min="10" max="10" width="10.5703125" bestFit="1" customWidth="1"/>
    <col min="11" max="12" width="10.7109375" bestFit="1" customWidth="1"/>
    <col min="16" max="16" width="10.5703125" bestFit="1" customWidth="1"/>
  </cols>
  <sheetData>
    <row r="1" spans="1:9" ht="14.25" customHeight="1" x14ac:dyDescent="0.25">
      <c r="C1" s="270">
        <v>45689</v>
      </c>
      <c r="D1" s="270">
        <v>45717</v>
      </c>
      <c r="E1" s="270">
        <v>45748</v>
      </c>
      <c r="F1" s="276">
        <v>45778</v>
      </c>
      <c r="G1" s="276">
        <v>45809</v>
      </c>
      <c r="H1" s="276">
        <v>45839</v>
      </c>
      <c r="I1" s="271" t="s">
        <v>295</v>
      </c>
    </row>
    <row r="2" spans="1:9" ht="29.25" customHeight="1" x14ac:dyDescent="0.25">
      <c r="A2" s="214"/>
      <c r="B2" s="214"/>
      <c r="C2" s="261" t="s">
        <v>294</v>
      </c>
      <c r="D2" s="261" t="s">
        <v>294</v>
      </c>
      <c r="E2" s="261" t="s">
        <v>294</v>
      </c>
      <c r="F2" s="277" t="s">
        <v>294</v>
      </c>
      <c r="G2" s="277" t="s">
        <v>294</v>
      </c>
      <c r="H2" s="277" t="s">
        <v>294</v>
      </c>
      <c r="I2" s="235"/>
    </row>
    <row r="3" spans="1:9" s="266" customFormat="1" ht="15" customHeight="1" x14ac:dyDescent="0.25">
      <c r="A3" s="226" t="s">
        <v>93</v>
      </c>
      <c r="B3" s="226" t="s">
        <v>2</v>
      </c>
      <c r="C3" s="265"/>
      <c r="D3" s="265"/>
      <c r="E3" s="265"/>
      <c r="F3" s="265"/>
      <c r="G3" s="265"/>
      <c r="H3" s="265"/>
      <c r="I3" s="269"/>
    </row>
    <row r="4" spans="1:9" x14ac:dyDescent="0.25">
      <c r="A4" t="s">
        <v>313</v>
      </c>
      <c r="B4" t="str">
        <f>VLOOKUP(A4,Planejamento2025[[#Data],[#Totals]],2,FALSE)</f>
        <v>Sorvetes Artesanais</v>
      </c>
      <c r="C4" s="234">
        <f>167.84+76.93</f>
        <v>244.77</v>
      </c>
      <c r="I4" s="234">
        <f>SUM(C4:H4)</f>
        <v>244.77</v>
      </c>
    </row>
    <row r="5" spans="1:9" x14ac:dyDescent="0.25">
      <c r="A5" t="s">
        <v>314</v>
      </c>
      <c r="B5" t="str">
        <f>VLOOKUP(A5,Planejamento2025[[#Data],[#Totals]],2,FALSE)</f>
        <v>Pães Especiais</v>
      </c>
      <c r="D5" s="234">
        <v>515.84</v>
      </c>
      <c r="I5" s="234">
        <f t="shared" ref="I5:I9" si="0">SUM(C5:H5)</f>
        <v>515.84</v>
      </c>
    </row>
    <row r="6" spans="1:9" x14ac:dyDescent="0.25">
      <c r="A6" t="s">
        <v>315</v>
      </c>
      <c r="B6" t="str">
        <f>VLOOKUP(A6,Planejamento2025[[#Data],[#Totals]],2,FALSE)</f>
        <v>Massas Folhadas</v>
      </c>
      <c r="E6" s="234">
        <f>710.87+18+39</f>
        <v>767.87</v>
      </c>
      <c r="I6" s="234">
        <f t="shared" si="0"/>
        <v>767.87</v>
      </c>
    </row>
    <row r="7" spans="1:9" x14ac:dyDescent="0.25">
      <c r="A7" t="s">
        <v>316</v>
      </c>
      <c r="B7" t="str">
        <f>VLOOKUP(A7,Planejamento2025[[#Data],[#Totals]],2,FALSE)</f>
        <v>Cafeteria</v>
      </c>
      <c r="E7" s="234">
        <f>132.19+114.9</f>
        <v>247.09</v>
      </c>
      <c r="I7" s="234">
        <f t="shared" si="0"/>
        <v>247.09</v>
      </c>
    </row>
    <row r="8" spans="1:9" x14ac:dyDescent="0.25">
      <c r="A8" t="s">
        <v>317</v>
      </c>
      <c r="B8" t="str">
        <f>VLOOKUP(A8,Planejamento2025[[#Data],[#Totals]],2,FALSE)</f>
        <v>Pizzas</v>
      </c>
      <c r="F8" s="288">
        <f>400.92+140</f>
        <v>540.92000000000007</v>
      </c>
      <c r="I8" s="234">
        <f t="shared" si="0"/>
        <v>540.92000000000007</v>
      </c>
    </row>
    <row r="9" spans="1:9" x14ac:dyDescent="0.25">
      <c r="A9" t="s">
        <v>318</v>
      </c>
      <c r="B9" t="str">
        <f>VLOOKUP(A9,Planejamento2025[[#Data],[#Totals]],2,FALSE)</f>
        <v>Massas Frescas e Molhos</v>
      </c>
      <c r="I9" s="234">
        <f t="shared" si="0"/>
        <v>0</v>
      </c>
    </row>
    <row r="10" spans="1:9" x14ac:dyDescent="0.25">
      <c r="A10" s="226"/>
      <c r="B10" s="226"/>
      <c r="C10" s="269"/>
      <c r="D10" s="269"/>
      <c r="E10" s="269"/>
      <c r="F10" s="269"/>
      <c r="G10" s="269"/>
      <c r="H10" s="269"/>
      <c r="I10" s="269">
        <f>SUM(I4:I9)</f>
        <v>2316.4899999999998</v>
      </c>
    </row>
  </sheetData>
  <conditionalFormatting sqref="A1 C1:H1">
    <cfRule type="containsText" dxfId="131" priority="1" operator="containsText" text="Dinheiro">
      <formula>NOT(ISERROR(SEARCH("Dinheiro",A1)))</formula>
    </cfRule>
  </conditionalFormatting>
  <conditionalFormatting sqref="A2:H3">
    <cfRule type="containsText" dxfId="130" priority="5" operator="containsText" text="Dinheiro">
      <formula>NOT(ISERROR(SEARCH("Dinheiro",A2)))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6A539-CF08-423B-91CC-8E80B4F53A7A}">
  <sheetPr codeName="Planilha2"/>
  <dimension ref="A1:B13"/>
  <sheetViews>
    <sheetView showGridLines="0" workbookViewId="0">
      <selection sqref="A1:N13"/>
    </sheetView>
  </sheetViews>
  <sheetFormatPr defaultRowHeight="15" x14ac:dyDescent="0.25"/>
  <cols>
    <col min="1" max="1" width="16.28515625" customWidth="1"/>
    <col min="2" max="2" width="17.140625" style="49" customWidth="1"/>
  </cols>
  <sheetData>
    <row r="1" spans="1:2" ht="15.75" thickBot="1" x14ac:dyDescent="0.3">
      <c r="A1" s="431" t="s">
        <v>218</v>
      </c>
      <c r="B1" s="433"/>
    </row>
    <row r="2" spans="1:2" ht="15.75" thickBot="1" x14ac:dyDescent="0.3"/>
    <row r="3" spans="1:2" ht="15.75" thickBot="1" x14ac:dyDescent="0.3">
      <c r="A3" s="149" t="s">
        <v>220</v>
      </c>
      <c r="B3" s="198" t="e">
        <f>Planejamento!#REF!</f>
        <v>#REF!</v>
      </c>
    </row>
    <row r="4" spans="1:2" ht="15.75" thickBot="1" x14ac:dyDescent="0.3">
      <c r="A4" s="148"/>
      <c r="B4" s="197"/>
    </row>
    <row r="5" spans="1:2" ht="15.75" thickBot="1" x14ac:dyDescent="0.3">
      <c r="A5" s="149" t="s">
        <v>219</v>
      </c>
      <c r="B5" s="194" t="e">
        <f>Planejamento2025[[#Totals],[Capac. Máx.]]+Planejamento!#REF!</f>
        <v>#REF!</v>
      </c>
    </row>
    <row r="6" spans="1:2" ht="15.75" thickBot="1" x14ac:dyDescent="0.3"/>
    <row r="7" spans="1:2" ht="15.75" thickBot="1" x14ac:dyDescent="0.3">
      <c r="A7" s="431" t="s">
        <v>224</v>
      </c>
      <c r="B7" s="433"/>
    </row>
    <row r="8" spans="1:2" x14ac:dyDescent="0.25">
      <c r="A8" s="195" t="s">
        <v>15</v>
      </c>
      <c r="B8" s="196"/>
    </row>
    <row r="9" spans="1:2" x14ac:dyDescent="0.25">
      <c r="A9" s="195" t="s">
        <v>223</v>
      </c>
      <c r="B9" s="196" t="e">
        <f>COUNTIFS(Planejamento!$AD$2:$AD$81,Planilha1!$A$8,Planejamento!#REF!,Planilha1!$A$8)</f>
        <v>#REF!</v>
      </c>
    </row>
    <row r="10" spans="1:2" x14ac:dyDescent="0.25">
      <c r="A10" s="195" t="s">
        <v>222</v>
      </c>
      <c r="B10" s="196" t="e">
        <f>COUNTIFS(Planejamento!$AD$2:$AD$81,Planilha1!$A$12,Planejamento!#REF!,Planilha1!$A$8)</f>
        <v>#REF!</v>
      </c>
    </row>
    <row r="11" spans="1:2" x14ac:dyDescent="0.25">
      <c r="A11" s="195"/>
      <c r="B11" s="196"/>
    </row>
    <row r="12" spans="1:2" ht="15.75" thickBot="1" x14ac:dyDescent="0.3">
      <c r="A12" s="195" t="s">
        <v>5</v>
      </c>
      <c r="B12" s="196" t="e">
        <f>COUNTIF(Planejamento!#REF!,Planilha1!A12)</f>
        <v>#REF!</v>
      </c>
    </row>
    <row r="13" spans="1:2" ht="15.75" thickBot="1" x14ac:dyDescent="0.3">
      <c r="A13" s="149" t="s">
        <v>221</v>
      </c>
      <c r="B13" s="194" t="e">
        <f>SUM(B8:B12)</f>
        <v>#REF!</v>
      </c>
    </row>
  </sheetData>
  <mergeCells count="2">
    <mergeCell ref="A7:B7"/>
    <mergeCell ref="A1:B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424A8-A4CE-4BAA-AA46-089DCA378C6F}">
  <sheetPr codeName="Planilha3">
    <pageSetUpPr fitToPage="1"/>
  </sheetPr>
  <dimension ref="A1:AD48"/>
  <sheetViews>
    <sheetView showGridLines="0" topLeftCell="A25" zoomScaleNormal="100" workbookViewId="0">
      <selection activeCell="C36" sqref="C36"/>
    </sheetView>
  </sheetViews>
  <sheetFormatPr defaultRowHeight="15" x14ac:dyDescent="0.25"/>
  <cols>
    <col min="1" max="1" width="7.5703125" style="4" customWidth="1"/>
    <col min="2" max="2" width="28.140625" style="4" customWidth="1"/>
    <col min="3" max="3" width="7.7109375" style="48" customWidth="1"/>
    <col min="4" max="4" width="15.140625" style="4" customWidth="1"/>
    <col min="5" max="6" width="17" style="4" customWidth="1"/>
    <col min="7" max="7" width="8.28515625" style="3" customWidth="1"/>
    <col min="8" max="8" width="8.7109375" style="16" hidden="1" customWidth="1"/>
    <col min="9" max="13" width="4.5703125" style="3" customWidth="1"/>
    <col min="14" max="14" width="11.7109375" style="3" hidden="1" customWidth="1"/>
    <col min="15" max="16" width="7.42578125" style="3" customWidth="1"/>
    <col min="17" max="17" width="4.5703125" style="3" customWidth="1"/>
    <col min="18" max="18" width="7.28515625" style="133" customWidth="1"/>
    <col min="19" max="19" width="6.5703125" style="3" customWidth="1"/>
    <col min="20" max="20" width="9.42578125" style="3" customWidth="1"/>
    <col min="21" max="21" width="10.42578125" style="3" customWidth="1"/>
    <col min="22" max="22" width="7.85546875" style="3" customWidth="1"/>
    <col min="23" max="23" width="10.28515625" style="2" customWidth="1"/>
    <col min="24" max="24" width="19.140625" style="1" customWidth="1"/>
    <col min="25" max="25" width="14.140625" style="40" customWidth="1"/>
    <col min="26" max="26" width="10.42578125" style="1" customWidth="1"/>
    <col min="27" max="27" width="12.28515625" style="1" customWidth="1"/>
    <col min="28" max="28" width="10.140625" customWidth="1"/>
    <col min="30" max="30" width="13.28515625" bestFit="1" customWidth="1"/>
  </cols>
  <sheetData>
    <row r="1" spans="1:28" ht="28.5" x14ac:dyDescent="0.25">
      <c r="A1" s="434" t="s">
        <v>75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/>
      <c r="AB1" s="434"/>
    </row>
    <row r="2" spans="1:28" s="5" customFormat="1" ht="29.25" customHeight="1" x14ac:dyDescent="0.25">
      <c r="A2" s="17" t="s">
        <v>93</v>
      </c>
      <c r="B2" s="17" t="s">
        <v>2</v>
      </c>
      <c r="C2" s="12" t="s">
        <v>85</v>
      </c>
      <c r="D2" s="17" t="s">
        <v>80</v>
      </c>
      <c r="E2" s="17" t="s">
        <v>81</v>
      </c>
      <c r="F2" s="17" t="s">
        <v>22</v>
      </c>
      <c r="G2" s="18" t="s">
        <v>1</v>
      </c>
      <c r="H2" s="18" t="s">
        <v>6</v>
      </c>
      <c r="I2" s="19" t="s">
        <v>16</v>
      </c>
      <c r="J2" s="19" t="s">
        <v>17</v>
      </c>
      <c r="K2" s="19" t="s">
        <v>18</v>
      </c>
      <c r="L2" s="19" t="s">
        <v>19</v>
      </c>
      <c r="M2" s="19" t="s">
        <v>20</v>
      </c>
      <c r="N2" s="19" t="s">
        <v>99</v>
      </c>
      <c r="O2" s="19" t="s">
        <v>10</v>
      </c>
      <c r="P2" s="19" t="s">
        <v>11</v>
      </c>
      <c r="Q2" s="19" t="s">
        <v>7</v>
      </c>
      <c r="R2" s="129" t="s">
        <v>8</v>
      </c>
      <c r="S2" s="20" t="s">
        <v>0</v>
      </c>
      <c r="T2" s="20" t="s">
        <v>9</v>
      </c>
      <c r="U2" s="12" t="s">
        <v>3</v>
      </c>
      <c r="V2" s="12" t="s">
        <v>97</v>
      </c>
      <c r="W2" s="13" t="s">
        <v>12</v>
      </c>
      <c r="X2" s="13" t="s">
        <v>72</v>
      </c>
      <c r="Y2" s="13" t="s">
        <v>73</v>
      </c>
      <c r="Z2" s="12" t="s">
        <v>4</v>
      </c>
      <c r="AA2" s="14" t="s">
        <v>14</v>
      </c>
      <c r="AB2" s="10" t="s">
        <v>21</v>
      </c>
    </row>
    <row r="3" spans="1:28" ht="30" customHeight="1" x14ac:dyDescent="0.25">
      <c r="A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Q_AA</v>
      </c>
      <c r="B3" s="42" t="s">
        <v>77</v>
      </c>
      <c r="C3" s="47" t="s">
        <v>138</v>
      </c>
      <c r="D3" s="42" t="s">
        <v>76</v>
      </c>
      <c r="E3" s="42" t="s">
        <v>82</v>
      </c>
      <c r="F3" s="42" t="s">
        <v>185</v>
      </c>
      <c r="G3" s="43">
        <v>6.666666666666667</v>
      </c>
      <c r="H3" s="47"/>
      <c r="I3" s="43"/>
      <c r="J3" s="43" t="s">
        <v>100</v>
      </c>
      <c r="K3" s="43" t="s">
        <v>100</v>
      </c>
      <c r="L3" s="43" t="s">
        <v>100</v>
      </c>
      <c r="M3" s="43"/>
      <c r="N3" s="43" t="str">
        <f t="shared" ref="N3:N20" si="0">IF(I3="X","0","1")&amp;IF(J3="X","0","1")&amp;IF(K3="X","0","1")&amp;IF(L3="X","0","1")&amp;IF(M3="X","0","1")&amp;"11"</f>
        <v>1000111</v>
      </c>
      <c r="O3" s="43">
        <v>0.79166666666666663</v>
      </c>
      <c r="P3" s="43">
        <v>0.91666666666666663</v>
      </c>
      <c r="Q3" s="43">
        <f>Tabela1453[[#This Row],[Saída]]-Tabela1453[[#This Row],[Entrada]]</f>
        <v>0.125</v>
      </c>
      <c r="R3" s="130">
        <f>Tabela1453[[#This Row],[Carga Horária]]/Q3</f>
        <v>53.333333333333336</v>
      </c>
      <c r="S3" s="44">
        <v>45699</v>
      </c>
      <c r="T3" s="44">
        <f>WORKDAY.INTL(S3,R3,Tabela1453[[#This Row],[Padrão]],Calendário!$R$4:$R$35)</f>
        <v>45832</v>
      </c>
      <c r="U3" s="45"/>
      <c r="V3" s="46">
        <v>32</v>
      </c>
      <c r="W3" s="9">
        <v>47.5</v>
      </c>
      <c r="X3" s="51">
        <f>IF(Tabela1453[[#This Row],[Fonte Pagadora]]="Anna de Moura",(W3*G3*24),"-")</f>
        <v>7600</v>
      </c>
      <c r="Y3" s="9"/>
      <c r="Z3" s="45" t="s">
        <v>5</v>
      </c>
      <c r="AA3" s="45" t="s">
        <v>15</v>
      </c>
      <c r="AB3" s="9"/>
    </row>
    <row r="4" spans="1:28" ht="30" customHeight="1" x14ac:dyDescent="0.25">
      <c r="A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A_LG</v>
      </c>
      <c r="B4" s="42" t="s">
        <v>94</v>
      </c>
      <c r="C4" s="47"/>
      <c r="D4" s="42" t="s">
        <v>76</v>
      </c>
      <c r="E4" s="42" t="s">
        <v>83</v>
      </c>
      <c r="F4" s="42" t="s">
        <v>184</v>
      </c>
      <c r="G4" s="43">
        <v>6.666666666666667</v>
      </c>
      <c r="H4" s="47"/>
      <c r="I4" s="43"/>
      <c r="J4" s="43" t="s">
        <v>100</v>
      </c>
      <c r="K4" s="43" t="s">
        <v>100</v>
      </c>
      <c r="L4" s="43" t="s">
        <v>100</v>
      </c>
      <c r="M4" s="43"/>
      <c r="N4" s="43" t="str">
        <f t="shared" si="0"/>
        <v>1000111</v>
      </c>
      <c r="O4" s="43">
        <v>0.79166666666666663</v>
      </c>
      <c r="P4" s="43">
        <v>0.91666666666666663</v>
      </c>
      <c r="Q4" s="43">
        <f>Tabela1453[[#This Row],[Saída]]-Tabela1453[[#This Row],[Entrada]]</f>
        <v>0.125</v>
      </c>
      <c r="R4" s="130">
        <f>Tabela1453[[#This Row],[Carga Horária]]/Q4</f>
        <v>53.333333333333336</v>
      </c>
      <c r="S4" s="44">
        <v>45699</v>
      </c>
      <c r="T4" s="44">
        <f>WORKDAY.INTL(S4-1,R4,Tabela1453[[#This Row],[Padrão]],Calendário!$R$4:$R$35)</f>
        <v>45826</v>
      </c>
      <c r="U4" s="45"/>
      <c r="V4" s="46">
        <v>32</v>
      </c>
      <c r="W4" s="9">
        <v>47.5</v>
      </c>
      <c r="X4" s="51">
        <f>IF(Tabela1453[[#This Row],[Fonte Pagadora]]="Anna de Moura",(W4*G4*24),"-")</f>
        <v>7600</v>
      </c>
      <c r="Y4" s="41"/>
      <c r="Z4" s="45" t="s">
        <v>5</v>
      </c>
      <c r="AA4" s="45" t="s">
        <v>15</v>
      </c>
      <c r="AB4" s="9"/>
    </row>
    <row r="5" spans="1:28" ht="30" customHeight="1" x14ac:dyDescent="0.25">
      <c r="A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A_MP</v>
      </c>
      <c r="B5" s="42" t="s">
        <v>87</v>
      </c>
      <c r="C5" s="47" t="s">
        <v>137</v>
      </c>
      <c r="D5" s="42" t="s">
        <v>74</v>
      </c>
      <c r="E5" s="42" t="s">
        <v>83</v>
      </c>
      <c r="F5" s="42" t="s">
        <v>187</v>
      </c>
      <c r="G5" s="43">
        <v>1.3333333333333333</v>
      </c>
      <c r="H5" s="47"/>
      <c r="I5" s="43"/>
      <c r="J5" s="43" t="s">
        <v>139</v>
      </c>
      <c r="K5" s="43"/>
      <c r="L5" s="43" t="s">
        <v>139</v>
      </c>
      <c r="M5" s="43"/>
      <c r="N5" s="43" t="str">
        <f t="shared" si="0"/>
        <v>1010111</v>
      </c>
      <c r="O5" s="43">
        <v>0.79166666666666663</v>
      </c>
      <c r="P5" s="43">
        <v>0.91666666666666663</v>
      </c>
      <c r="Q5" s="43">
        <f>Tabela1453[[#This Row],[Saída]]-Tabela1453[[#This Row],[Entrada]]</f>
        <v>0.125</v>
      </c>
      <c r="R5" s="130">
        <v>11</v>
      </c>
      <c r="S5" s="44">
        <v>45783</v>
      </c>
      <c r="T5" s="44">
        <f>WORKDAY.INTL(S5-1,R5,Tabela1453[[#This Row],[Padrão]],Calendário!$R$4:$R$35)</f>
        <v>45818</v>
      </c>
      <c r="U5" s="45" t="s">
        <v>199</v>
      </c>
      <c r="V5" s="46">
        <v>16</v>
      </c>
      <c r="W5" s="9">
        <v>47.5</v>
      </c>
      <c r="X5" s="51">
        <f>IF(Tabela1453[[#This Row],[Fonte Pagadora]]="Anna de Moura",(W5*G5*24),"-")</f>
        <v>1520</v>
      </c>
      <c r="Y5" s="41"/>
      <c r="Z5" s="45" t="s">
        <v>5</v>
      </c>
      <c r="AA5" s="45" t="s">
        <v>15</v>
      </c>
      <c r="AB5" s="9"/>
    </row>
    <row r="6" spans="1:28" ht="30" customHeight="1" x14ac:dyDescent="0.25">
      <c r="A6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_C1</v>
      </c>
      <c r="B6" s="42" t="s">
        <v>201</v>
      </c>
      <c r="C6" s="47"/>
      <c r="D6" s="42"/>
      <c r="E6" s="42"/>
      <c r="F6" s="42"/>
      <c r="G6" s="43">
        <v>0.625</v>
      </c>
      <c r="H6" s="47"/>
      <c r="I6" s="43"/>
      <c r="J6" s="43" t="s">
        <v>100</v>
      </c>
      <c r="K6" s="43" t="s">
        <v>100</v>
      </c>
      <c r="L6" s="43"/>
      <c r="M6" s="43"/>
      <c r="N6" s="43" t="str">
        <f t="shared" ref="N6:N9" si="1">IF(I6="X","0","1")&amp;IF(J6="X","0","1")&amp;IF(K6="X","0","1")&amp;IF(L6="X","0","1")&amp;IF(M6="X","0","1")&amp;"11"</f>
        <v>1001111</v>
      </c>
      <c r="O6" s="43">
        <v>0.79166666666666663</v>
      </c>
      <c r="P6" s="43">
        <v>0.91666666666666663</v>
      </c>
      <c r="Q6" s="43">
        <f>Tabela1453[[#This Row],[Saída]]-Tabela1453[[#This Row],[Entrada]]</f>
        <v>0.125</v>
      </c>
      <c r="R6" s="130">
        <f>Tabela1453[[#This Row],[Carga Horária]]/Q6</f>
        <v>5</v>
      </c>
      <c r="S6" s="44">
        <v>45699</v>
      </c>
      <c r="T6" s="44">
        <f>WORKDAY.INTL(S6-1,R6,Tabela1453[[#This Row],[Padrão]],Calendário!$R$4:$R$35)</f>
        <v>45713</v>
      </c>
      <c r="U6" s="45" t="s">
        <v>198</v>
      </c>
      <c r="V6" s="46">
        <v>18</v>
      </c>
      <c r="W6" s="9">
        <v>47.5</v>
      </c>
      <c r="X6" s="51">
        <f>IF(Tabela1453[[#This Row],[Fonte Pagadora]]="Anna de Moura",(W6*G6*24),"-")</f>
        <v>712.5</v>
      </c>
      <c r="Y6" s="41"/>
      <c r="Z6" s="45" t="s">
        <v>5</v>
      </c>
      <c r="AA6" s="45" t="s">
        <v>5</v>
      </c>
      <c r="AB6" s="9"/>
    </row>
    <row r="7" spans="1:28" ht="30" customHeight="1" x14ac:dyDescent="0.25">
      <c r="A7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_C2</v>
      </c>
      <c r="B7" s="42" t="s">
        <v>202</v>
      </c>
      <c r="C7" s="47"/>
      <c r="D7" s="42"/>
      <c r="E7" s="42"/>
      <c r="F7" s="42"/>
      <c r="G7" s="43">
        <v>0.625</v>
      </c>
      <c r="H7" s="47"/>
      <c r="I7" s="43"/>
      <c r="J7" s="43" t="s">
        <v>100</v>
      </c>
      <c r="K7" s="43" t="s">
        <v>100</v>
      </c>
      <c r="L7" s="43"/>
      <c r="M7" s="43"/>
      <c r="N7" s="43" t="str">
        <f t="shared" si="1"/>
        <v>1001111</v>
      </c>
      <c r="O7" s="43">
        <v>0.79166666666666663</v>
      </c>
      <c r="P7" s="43">
        <v>0.91666666666666663</v>
      </c>
      <c r="Q7" s="43">
        <f>Tabela1453[[#This Row],[Saída]]-Tabela1453[[#This Row],[Entrada]]</f>
        <v>0.125</v>
      </c>
      <c r="R7" s="130">
        <f>Tabela1453[[#This Row],[Carga Horária]]/Q7</f>
        <v>5</v>
      </c>
      <c r="S7" s="44">
        <v>45721</v>
      </c>
      <c r="T7" s="44">
        <f>WORKDAY.INTL(S7-1,R7,Tabela1453[[#This Row],[Padrão]],Calendário!$R$4:$R$35)</f>
        <v>45735</v>
      </c>
      <c r="U7" s="45" t="s">
        <v>198</v>
      </c>
      <c r="V7" s="46">
        <v>18</v>
      </c>
      <c r="W7" s="9">
        <v>47.5</v>
      </c>
      <c r="X7" s="51">
        <f>IF(Tabela1453[[#This Row],[Fonte Pagadora]]="Anna de Moura",(W7*G7*24),"-")</f>
        <v>712.5</v>
      </c>
      <c r="Y7" s="41"/>
      <c r="Z7" s="45" t="s">
        <v>5</v>
      </c>
      <c r="AA7" s="45" t="s">
        <v>5</v>
      </c>
      <c r="AB7" s="9"/>
    </row>
    <row r="8" spans="1:28" ht="30" customHeight="1" x14ac:dyDescent="0.25">
      <c r="A8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_C3</v>
      </c>
      <c r="B8" s="42" t="s">
        <v>203</v>
      </c>
      <c r="C8" s="47"/>
      <c r="D8" s="42"/>
      <c r="E8" s="42"/>
      <c r="F8" s="42"/>
      <c r="G8" s="43">
        <v>0.625</v>
      </c>
      <c r="H8" s="47"/>
      <c r="I8" s="43"/>
      <c r="J8" s="43" t="s">
        <v>100</v>
      </c>
      <c r="K8" s="43" t="s">
        <v>100</v>
      </c>
      <c r="L8" s="43"/>
      <c r="M8" s="43"/>
      <c r="N8" s="43" t="str">
        <f t="shared" si="1"/>
        <v>1001111</v>
      </c>
      <c r="O8" s="43">
        <v>0.79166666666666663</v>
      </c>
      <c r="P8" s="43">
        <v>0.91666666666666663</v>
      </c>
      <c r="Q8" s="43">
        <f>Tabela1453[[#This Row],[Saída]]-Tabela1453[[#This Row],[Entrada]]</f>
        <v>0.125</v>
      </c>
      <c r="R8" s="130">
        <f>Tabela1453[[#This Row],[Carga Horária]]/Q8</f>
        <v>5</v>
      </c>
      <c r="S8" s="44">
        <v>45742</v>
      </c>
      <c r="T8" s="44">
        <f>WORKDAY.INTL(S8-1,R8,Tabela1453[[#This Row],[Padrão]],Calendário!$R$4:$R$35)</f>
        <v>45756</v>
      </c>
      <c r="U8" s="45" t="s">
        <v>198</v>
      </c>
      <c r="V8" s="46">
        <v>18</v>
      </c>
      <c r="W8" s="9">
        <v>47.5</v>
      </c>
      <c r="X8" s="51">
        <f>IF(Tabela1453[[#This Row],[Fonte Pagadora]]="Anna de Moura",(W8*G8*24),"-")</f>
        <v>712.5</v>
      </c>
      <c r="Y8" s="41"/>
      <c r="Z8" s="45" t="s">
        <v>5</v>
      </c>
      <c r="AA8" s="45" t="s">
        <v>5</v>
      </c>
      <c r="AB8" s="9"/>
    </row>
    <row r="9" spans="1:28" ht="30" customHeight="1" x14ac:dyDescent="0.25">
      <c r="A9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_C4</v>
      </c>
      <c r="B9" s="42" t="s">
        <v>204</v>
      </c>
      <c r="C9" s="47"/>
      <c r="D9" s="42"/>
      <c r="E9" s="42"/>
      <c r="F9" s="42"/>
      <c r="G9" s="43">
        <v>0.625</v>
      </c>
      <c r="H9" s="47"/>
      <c r="I9" s="43"/>
      <c r="J9" s="43" t="s">
        <v>100</v>
      </c>
      <c r="K9" s="43" t="s">
        <v>100</v>
      </c>
      <c r="L9" s="43"/>
      <c r="M9" s="43"/>
      <c r="N9" s="43" t="str">
        <f t="shared" si="1"/>
        <v>1001111</v>
      </c>
      <c r="O9" s="43">
        <v>0.79166666666666663</v>
      </c>
      <c r="P9" s="43">
        <v>0.91666666666666663</v>
      </c>
      <c r="Q9" s="43">
        <f>Tabela1453[[#This Row],[Saída]]-Tabela1453[[#This Row],[Entrada]]</f>
        <v>0.125</v>
      </c>
      <c r="R9" s="130">
        <f>Tabela1453[[#This Row],[Carga Horária]]/Q9</f>
        <v>5</v>
      </c>
      <c r="S9" s="44">
        <v>45763</v>
      </c>
      <c r="T9" s="44">
        <f>WORKDAY.INTL(S9-1,R9,Tabela1453[[#This Row],[Padrão]],Calendário!$R$4:$R$35)</f>
        <v>45777</v>
      </c>
      <c r="U9" s="45" t="s">
        <v>198</v>
      </c>
      <c r="V9" s="46">
        <v>18</v>
      </c>
      <c r="W9" s="9">
        <v>47.5</v>
      </c>
      <c r="X9" s="51">
        <f>IF(Tabela1453[[#This Row],[Fonte Pagadora]]="Anna de Moura",(W9*G9*24),"-")</f>
        <v>712.5</v>
      </c>
      <c r="Y9" s="41"/>
      <c r="Z9" s="45" t="s">
        <v>5</v>
      </c>
      <c r="AA9" s="45" t="s">
        <v>5</v>
      </c>
      <c r="AB9" s="9"/>
    </row>
    <row r="10" spans="1:28" ht="30" customHeight="1" x14ac:dyDescent="0.25">
      <c r="A10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_C5</v>
      </c>
      <c r="B10" s="42" t="s">
        <v>205</v>
      </c>
      <c r="C10" s="47"/>
      <c r="D10" s="42"/>
      <c r="E10" s="42"/>
      <c r="F10" s="42"/>
      <c r="G10" s="43">
        <v>0.625</v>
      </c>
      <c r="H10" s="47"/>
      <c r="I10" s="43"/>
      <c r="J10" s="43" t="s">
        <v>100</v>
      </c>
      <c r="K10" s="43" t="s">
        <v>100</v>
      </c>
      <c r="L10" s="43"/>
      <c r="M10" s="43"/>
      <c r="N10" s="43" t="str">
        <f t="shared" ref="N10:N11" si="2">IF(I10="X","0","1")&amp;IF(J10="X","0","1")&amp;IF(K10="X","0","1")&amp;IF(L10="X","0","1")&amp;IF(M10="X","0","1")&amp;"11"</f>
        <v>1001111</v>
      </c>
      <c r="O10" s="43">
        <v>0.79166666666666663</v>
      </c>
      <c r="P10" s="43">
        <v>0.91666666666666663</v>
      </c>
      <c r="Q10" s="43">
        <f>Tabela1453[[#This Row],[Saída]]-Tabela1453[[#This Row],[Entrada]]</f>
        <v>0.125</v>
      </c>
      <c r="R10" s="130">
        <f>Tabela1453[[#This Row],[Carga Horária]]/Q10</f>
        <v>5</v>
      </c>
      <c r="S10" s="44">
        <v>45784</v>
      </c>
      <c r="T10" s="44">
        <f>WORKDAY.INTL(S10-1,R10,Tabela1453[[#This Row],[Padrão]],Calendário!$R$4:$R$35)</f>
        <v>45798</v>
      </c>
      <c r="U10" s="45" t="s">
        <v>198</v>
      </c>
      <c r="V10" s="46">
        <v>18</v>
      </c>
      <c r="W10" s="9">
        <v>47.5</v>
      </c>
      <c r="X10" s="51">
        <f>IF(Tabela1453[[#This Row],[Fonte Pagadora]]="Anna de Moura",(W10*G10*24),"-")</f>
        <v>712.5</v>
      </c>
      <c r="Y10" s="41"/>
      <c r="Z10" s="45" t="s">
        <v>5</v>
      </c>
      <c r="AA10" s="45" t="s">
        <v>5</v>
      </c>
      <c r="AB10" s="9"/>
    </row>
    <row r="11" spans="1:28" ht="30" customHeight="1" x14ac:dyDescent="0.25">
      <c r="A11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_C6</v>
      </c>
      <c r="B11" s="42" t="s">
        <v>206</v>
      </c>
      <c r="C11" s="47"/>
      <c r="D11" s="42"/>
      <c r="E11" s="42"/>
      <c r="F11" s="42"/>
      <c r="G11" s="43">
        <v>0.625</v>
      </c>
      <c r="H11" s="47"/>
      <c r="I11" s="43"/>
      <c r="J11" s="43" t="s">
        <v>100</v>
      </c>
      <c r="K11" s="43" t="s">
        <v>100</v>
      </c>
      <c r="L11" s="43"/>
      <c r="M11" s="43"/>
      <c r="N11" s="43" t="str">
        <f t="shared" si="2"/>
        <v>1001111</v>
      </c>
      <c r="O11" s="43">
        <v>0.79166666666666663</v>
      </c>
      <c r="P11" s="43">
        <v>0.91666666666666663</v>
      </c>
      <c r="Q11" s="43">
        <f>Tabela1453[[#This Row],[Saída]]-Tabela1453[[#This Row],[Entrada]]</f>
        <v>0.125</v>
      </c>
      <c r="R11" s="130">
        <f>Tabela1453[[#This Row],[Carga Horária]]/Q11</f>
        <v>5</v>
      </c>
      <c r="S11" s="44">
        <v>45805</v>
      </c>
      <c r="T11" s="44">
        <f>WORKDAY.INTL(S11-1,R11,Tabela1453[[#This Row],[Padrão]],Calendário!$R$4:$R$35)</f>
        <v>45819</v>
      </c>
      <c r="U11" s="45" t="s">
        <v>198</v>
      </c>
      <c r="V11" s="46">
        <v>18</v>
      </c>
      <c r="W11" s="9">
        <v>47.5</v>
      </c>
      <c r="X11" s="51">
        <f>IF(Tabela1453[[#This Row],[Fonte Pagadora]]="Anna de Moura",(W11*G11*24),"-")</f>
        <v>712.5</v>
      </c>
      <c r="Y11" s="41"/>
      <c r="Z11" s="45" t="s">
        <v>5</v>
      </c>
      <c r="AA11" s="45" t="s">
        <v>5</v>
      </c>
      <c r="AB11" s="9"/>
    </row>
    <row r="12" spans="1:28" ht="30" customHeight="1" x14ac:dyDescent="0.25">
      <c r="A12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A_PO</v>
      </c>
      <c r="B12" s="42" t="s">
        <v>78</v>
      </c>
      <c r="C12" s="47" t="s">
        <v>137</v>
      </c>
      <c r="D12" s="42" t="s">
        <v>74</v>
      </c>
      <c r="E12" s="42" t="s">
        <v>83</v>
      </c>
      <c r="F12" s="42" t="s">
        <v>188</v>
      </c>
      <c r="G12" s="43">
        <v>4</v>
      </c>
      <c r="H12" s="47"/>
      <c r="I12" s="43"/>
      <c r="J12" s="43" t="s">
        <v>139</v>
      </c>
      <c r="K12" s="43" t="s">
        <v>139</v>
      </c>
      <c r="L12" s="43" t="s">
        <v>139</v>
      </c>
      <c r="M12" s="43"/>
      <c r="N12" s="43" t="str">
        <f t="shared" si="0"/>
        <v>1000111</v>
      </c>
      <c r="O12" s="43">
        <v>0.79166666666666663</v>
      </c>
      <c r="P12" s="43">
        <v>0.91666666666666663</v>
      </c>
      <c r="Q12" s="43">
        <f>Tabela1453[[#This Row],[Saída]]-Tabela1453[[#This Row],[Entrada]]</f>
        <v>0.125</v>
      </c>
      <c r="R12" s="130">
        <f>Tabela1453[[#This Row],[Carga Horária]]/Q12</f>
        <v>32</v>
      </c>
      <c r="S12" s="44">
        <v>45699</v>
      </c>
      <c r="T12" s="44">
        <f>WORKDAY.INTL(S12-1,R12,Tabela1453[[#This Row],[Padrão]],Calendário!$R$4:$R$35)</f>
        <v>45776</v>
      </c>
      <c r="U12" s="45" t="s">
        <v>198</v>
      </c>
      <c r="V12" s="46">
        <v>16</v>
      </c>
      <c r="W12" s="9">
        <v>47.5</v>
      </c>
      <c r="X12" s="51">
        <f>IF(Tabela1453[[#This Row],[Fonte Pagadora]]="Anna de Moura",(W12*G12*24),"-")</f>
        <v>4560</v>
      </c>
      <c r="Y12" s="41"/>
      <c r="Z12" s="45" t="s">
        <v>5</v>
      </c>
      <c r="AA12" s="45" t="s">
        <v>15</v>
      </c>
      <c r="AB12" s="9"/>
    </row>
    <row r="13" spans="1:28" ht="30" customHeight="1" x14ac:dyDescent="0.25">
      <c r="A1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A_PO</v>
      </c>
      <c r="B13" s="42" t="s">
        <v>78</v>
      </c>
      <c r="C13" s="47" t="s">
        <v>138</v>
      </c>
      <c r="D13" s="42" t="s">
        <v>74</v>
      </c>
      <c r="E13" s="42" t="s">
        <v>83</v>
      </c>
      <c r="F13" s="42" t="s">
        <v>188</v>
      </c>
      <c r="G13" s="43">
        <v>4</v>
      </c>
      <c r="H13" s="47"/>
      <c r="I13" s="43"/>
      <c r="J13" s="43" t="s">
        <v>100</v>
      </c>
      <c r="K13" s="43" t="s">
        <v>100</v>
      </c>
      <c r="L13" s="43" t="s">
        <v>100</v>
      </c>
      <c r="M13" s="43"/>
      <c r="N13" s="43" t="str">
        <f t="shared" si="0"/>
        <v>1000111</v>
      </c>
      <c r="O13" s="43">
        <v>0.625</v>
      </c>
      <c r="P13" s="43">
        <v>0.75</v>
      </c>
      <c r="Q13" s="43">
        <f>Tabela1453[[#This Row],[Saída]]-Tabela1453[[#This Row],[Entrada]]</f>
        <v>0.125</v>
      </c>
      <c r="R13" s="130">
        <f>Tabela1453[[#This Row],[Carga Horária]]/Q13</f>
        <v>32</v>
      </c>
      <c r="S13" s="44">
        <v>45699</v>
      </c>
      <c r="T13" s="44">
        <f>WORKDAY.INTL(S13-1,R13,Tabela1453[[#This Row],[Padrão]],Calendário!$R$4:$R$35)</f>
        <v>45776</v>
      </c>
      <c r="U13" s="45" t="s">
        <v>197</v>
      </c>
      <c r="V13" s="46">
        <v>16</v>
      </c>
      <c r="W13" s="9">
        <v>47.5</v>
      </c>
      <c r="X13" s="51">
        <f>IF(Tabela1453[[#This Row],[Fonte Pagadora]]="Anna de Moura",(W13*G13*24),"-")</f>
        <v>4560</v>
      </c>
      <c r="Y13" s="41"/>
      <c r="Z13" s="45" t="s">
        <v>5</v>
      </c>
      <c r="AA13" s="45" t="s">
        <v>15</v>
      </c>
      <c r="AB13" s="9"/>
    </row>
    <row r="14" spans="1:28" ht="30" customHeight="1" x14ac:dyDescent="0.25">
      <c r="A1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I_IB</v>
      </c>
      <c r="B14" s="42" t="s">
        <v>79</v>
      </c>
      <c r="C14" s="47" t="s">
        <v>137</v>
      </c>
      <c r="D14" s="42" t="s">
        <v>74</v>
      </c>
      <c r="E14" s="42" t="s">
        <v>84</v>
      </c>
      <c r="F14" s="42" t="s">
        <v>189</v>
      </c>
      <c r="G14" s="43">
        <v>1.6666666666666667</v>
      </c>
      <c r="H14" s="47"/>
      <c r="I14" s="43"/>
      <c r="J14" s="43"/>
      <c r="K14" s="43"/>
      <c r="L14" s="43" t="s">
        <v>139</v>
      </c>
      <c r="M14" s="43"/>
      <c r="N14" s="43" t="str">
        <f t="shared" si="0"/>
        <v>1110111</v>
      </c>
      <c r="O14" s="43">
        <v>0.60416666666666663</v>
      </c>
      <c r="P14" s="43">
        <v>0.70833333333333337</v>
      </c>
      <c r="Q14" s="43">
        <f>Tabela1453[[#This Row],[Saída]]-Tabela1453[[#This Row],[Entrada]]</f>
        <v>0.10416666666666674</v>
      </c>
      <c r="R14" s="130">
        <f>Tabela1453[[#This Row],[Carga Horária]]/Q14</f>
        <v>15.999999999999989</v>
      </c>
      <c r="S14" s="44">
        <v>45699</v>
      </c>
      <c r="T14" s="44">
        <f>WORKDAY.INTL(S14-1,R14,Tabela1453[[#This Row],[Padrão]],Calendário!$R$4:$R$35)</f>
        <v>45813</v>
      </c>
      <c r="U14" s="45" t="s">
        <v>140</v>
      </c>
      <c r="V14" s="46">
        <v>14</v>
      </c>
      <c r="W14" s="9"/>
      <c r="X14" s="51">
        <f>IF(Tabela1453[[#This Row],[Fonte Pagadora]]="Anna de Moura",(W14*G14*24),"-")</f>
        <v>0</v>
      </c>
      <c r="Y14" s="41"/>
      <c r="Z14" s="45" t="s">
        <v>5</v>
      </c>
      <c r="AA14" s="45" t="s">
        <v>5</v>
      </c>
      <c r="AB14" s="9"/>
    </row>
    <row r="15" spans="1:28" ht="30" customHeight="1" x14ac:dyDescent="0.25">
      <c r="A1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I_IB</v>
      </c>
      <c r="B15" s="42" t="s">
        <v>79</v>
      </c>
      <c r="C15" s="47" t="s">
        <v>138</v>
      </c>
      <c r="D15" s="42" t="s">
        <v>74</v>
      </c>
      <c r="E15" s="42" t="s">
        <v>84</v>
      </c>
      <c r="F15" s="42" t="s">
        <v>190</v>
      </c>
      <c r="G15" s="43">
        <v>2.5</v>
      </c>
      <c r="H15" s="47"/>
      <c r="I15" s="43"/>
      <c r="J15" s="43" t="s">
        <v>100</v>
      </c>
      <c r="K15" s="43" t="s">
        <v>100</v>
      </c>
      <c r="L15" s="43" t="s">
        <v>100</v>
      </c>
      <c r="M15" s="43"/>
      <c r="N15" s="43" t="str">
        <f t="shared" si="0"/>
        <v>1000111</v>
      </c>
      <c r="O15" s="43">
        <v>0.79166666666666663</v>
      </c>
      <c r="P15" s="43">
        <v>0.91666666666666663</v>
      </c>
      <c r="Q15" s="43">
        <f>Tabela1453[[#This Row],[Saída]]-Tabela1453[[#This Row],[Entrada]]</f>
        <v>0.125</v>
      </c>
      <c r="R15" s="130">
        <f>Tabela1453[[#This Row],[Carga Horária]]/Q15</f>
        <v>20</v>
      </c>
      <c r="S15" s="44">
        <v>45699</v>
      </c>
      <c r="T15" s="44">
        <f>WORKDAY.INTL(S15-1,R15,Tabela1453[[#This Row],[Padrão]],Calendário!$R$4:$R$35)</f>
        <v>45743</v>
      </c>
      <c r="U15" s="45" t="s">
        <v>198</v>
      </c>
      <c r="V15" s="46">
        <v>14</v>
      </c>
      <c r="W15" s="9">
        <v>47.5</v>
      </c>
      <c r="X15" s="51">
        <f>IF(Tabela1453[[#This Row],[Fonte Pagadora]]="Anna de Moura",(W15*G15*24),"-")</f>
        <v>2850</v>
      </c>
      <c r="Y15" s="41"/>
      <c r="Z15" s="45" t="s">
        <v>5</v>
      </c>
      <c r="AA15" s="45" t="s">
        <v>15</v>
      </c>
      <c r="AB15" s="9"/>
    </row>
    <row r="16" spans="1:28" ht="30" customHeight="1" x14ac:dyDescent="0.25">
      <c r="A16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I_L </v>
      </c>
      <c r="B16" s="136" t="s">
        <v>86</v>
      </c>
      <c r="C16" s="176"/>
      <c r="D16" s="136" t="s">
        <v>76</v>
      </c>
      <c r="E16" s="136" t="s">
        <v>84</v>
      </c>
      <c r="F16" s="136" t="s">
        <v>15</v>
      </c>
      <c r="G16" s="175">
        <v>1</v>
      </c>
      <c r="H16" s="176"/>
      <c r="I16" s="175"/>
      <c r="J16" s="175"/>
      <c r="K16" s="175"/>
      <c r="L16" s="175"/>
      <c r="M16" s="175"/>
      <c r="N16" s="175" t="str">
        <f>IF(I16="X","0","1")&amp;IF(J16="X","0","1")&amp;IF(K16="X","0","1")&amp;IF(L16="X","0","1")&amp;IF(M16="X","0","1")&amp;"11"</f>
        <v>1111111</v>
      </c>
      <c r="O16" s="175"/>
      <c r="P16" s="175"/>
      <c r="Q16" s="175">
        <f>Tabela1453[[#This Row],[Saída]]-Tabela1453[[#This Row],[Entrada]]</f>
        <v>0</v>
      </c>
      <c r="R16" s="177" t="e">
        <f>Tabela1453[[#This Row],[Carga Horária]]/Q16</f>
        <v>#DIV/0!</v>
      </c>
      <c r="S16" s="178"/>
      <c r="T16" s="44" t="e">
        <f>WORKDAY.INTL(S16-1,R16,Tabela1453[[#This Row],[Padrão]],Calendário!$R$4:$R$35)</f>
        <v>#NUM!</v>
      </c>
      <c r="U16" s="142"/>
      <c r="V16" s="179">
        <v>32</v>
      </c>
      <c r="W16" s="180"/>
      <c r="X16" s="183" t="str">
        <f>IF(Tabela1453[[#This Row],[Fonte Pagadora]]="Anna de Moura",(W16*G16*24),"-")</f>
        <v>-</v>
      </c>
      <c r="Y16" s="182"/>
      <c r="Z16" s="142" t="s">
        <v>15</v>
      </c>
      <c r="AA16" s="142" t="s">
        <v>15</v>
      </c>
      <c r="AB16" s="180"/>
    </row>
    <row r="17" spans="1:28" ht="30" customHeight="1" x14ac:dyDescent="0.25">
      <c r="A17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A_OL</v>
      </c>
      <c r="B17" s="136" t="s">
        <v>95</v>
      </c>
      <c r="C17" s="176"/>
      <c r="D17" s="136" t="s">
        <v>92</v>
      </c>
      <c r="E17" s="136" t="s">
        <v>83</v>
      </c>
      <c r="F17" s="136" t="s">
        <v>15</v>
      </c>
      <c r="G17" s="175">
        <v>6.666666666666667</v>
      </c>
      <c r="H17" s="176"/>
      <c r="I17" s="175"/>
      <c r="J17" s="175"/>
      <c r="K17" s="175"/>
      <c r="L17" s="175"/>
      <c r="M17" s="175"/>
      <c r="N17" s="175" t="str">
        <f t="shared" si="0"/>
        <v>1111111</v>
      </c>
      <c r="O17" s="175"/>
      <c r="P17" s="175"/>
      <c r="Q17" s="175">
        <f>Tabela1453[[#This Row],[Saída]]-Tabela1453[[#This Row],[Entrada]]</f>
        <v>0</v>
      </c>
      <c r="R17" s="177" t="e">
        <f>Tabela1453[[#This Row],[Carga Horária]]/Q17</f>
        <v>#DIV/0!</v>
      </c>
      <c r="S17" s="178"/>
      <c r="T17" s="44" t="e">
        <f>WORKDAY.INTL(S17-1,R17,Tabela1453[[#This Row],[Padrão]],Calendário!$R$4:$R$35)</f>
        <v>#NUM!</v>
      </c>
      <c r="U17" s="142"/>
      <c r="V17" s="179">
        <v>32</v>
      </c>
      <c r="W17" s="180">
        <v>47.5</v>
      </c>
      <c r="X17" s="181" t="str">
        <f>IF(Tabela1453[[#This Row],[Fonte Pagadora]]="Anna de Moura",(W17*G17*24),"-")</f>
        <v>-</v>
      </c>
      <c r="Y17" s="182"/>
      <c r="Z17" s="142" t="s">
        <v>15</v>
      </c>
      <c r="AA17" s="142" t="s">
        <v>15</v>
      </c>
      <c r="AB17" s="180"/>
    </row>
    <row r="18" spans="1:28" ht="30" customHeight="1" x14ac:dyDescent="0.25">
      <c r="A18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Q_EI</v>
      </c>
      <c r="B18" s="136" t="s">
        <v>88</v>
      </c>
      <c r="C18" s="176"/>
      <c r="D18" s="136" t="s">
        <v>90</v>
      </c>
      <c r="E18" s="136" t="s">
        <v>82</v>
      </c>
      <c r="F18" s="136" t="s">
        <v>15</v>
      </c>
      <c r="G18" s="175">
        <v>6.666666666666667</v>
      </c>
      <c r="H18" s="176"/>
      <c r="I18" s="175"/>
      <c r="J18" s="175"/>
      <c r="K18" s="175"/>
      <c r="L18" s="175"/>
      <c r="M18" s="175"/>
      <c r="N18" s="175" t="str">
        <f t="shared" si="0"/>
        <v>1111111</v>
      </c>
      <c r="O18" s="175"/>
      <c r="P18" s="175"/>
      <c r="Q18" s="175">
        <f>Tabela1453[[#This Row],[Saída]]-Tabela1453[[#This Row],[Entrada]]</f>
        <v>0</v>
      </c>
      <c r="R18" s="177" t="e">
        <f>Tabela1453[[#This Row],[Carga Horária]]/Q18</f>
        <v>#DIV/0!</v>
      </c>
      <c r="S18" s="178"/>
      <c r="T18" s="44" t="e">
        <f>WORKDAY.INTL(S18-1,R18,Tabela1453[[#This Row],[Padrão]],Calendário!$R$4:$R$35)</f>
        <v>#NUM!</v>
      </c>
      <c r="U18" s="142"/>
      <c r="V18" s="179">
        <v>22</v>
      </c>
      <c r="W18" s="180">
        <v>47.5</v>
      </c>
      <c r="X18" s="181" t="str">
        <f>IF(Tabela1453[[#This Row],[Fonte Pagadora]]="Anna de Moura",(W18*G18*24),"-")</f>
        <v>-</v>
      </c>
      <c r="Y18" s="182"/>
      <c r="Z18" s="142" t="s">
        <v>15</v>
      </c>
      <c r="AA18" s="142" t="s">
        <v>15</v>
      </c>
      <c r="AB18" s="180"/>
    </row>
    <row r="19" spans="1:28" ht="30" customHeight="1" x14ac:dyDescent="0.25">
      <c r="A19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A_CE</v>
      </c>
      <c r="B19" s="136" t="s">
        <v>89</v>
      </c>
      <c r="C19" s="176"/>
      <c r="D19" s="136" t="s">
        <v>90</v>
      </c>
      <c r="E19" s="136" t="s">
        <v>83</v>
      </c>
      <c r="F19" s="136" t="s">
        <v>15</v>
      </c>
      <c r="G19" s="175">
        <v>5</v>
      </c>
      <c r="H19" s="176"/>
      <c r="I19" s="175"/>
      <c r="J19" s="175"/>
      <c r="K19" s="175"/>
      <c r="L19" s="175"/>
      <c r="M19" s="175"/>
      <c r="N19" s="175" t="str">
        <f t="shared" si="0"/>
        <v>1111111</v>
      </c>
      <c r="O19" s="175"/>
      <c r="P19" s="175"/>
      <c r="Q19" s="175">
        <f>Tabela1453[[#This Row],[Saída]]-Tabela1453[[#This Row],[Entrada]]</f>
        <v>0</v>
      </c>
      <c r="R19" s="177" t="e">
        <f>Tabela1453[[#This Row],[Carga Horária]]/Q19</f>
        <v>#DIV/0!</v>
      </c>
      <c r="S19" s="178"/>
      <c r="T19" s="44" t="e">
        <f>WORKDAY.INTL(S19-1,R19,Tabela1453[[#This Row],[Padrão]],Calendário!$R$4:$R$35)</f>
        <v>#NUM!</v>
      </c>
      <c r="U19" s="142"/>
      <c r="V19" s="179">
        <v>22</v>
      </c>
      <c r="W19" s="180">
        <v>47.5</v>
      </c>
      <c r="X19" s="181" t="str">
        <f>IF(Tabela1453[[#This Row],[Fonte Pagadora]]="Anna de Moura",(W19*G19*24),"-")</f>
        <v>-</v>
      </c>
      <c r="Y19" s="182"/>
      <c r="Z19" s="142" t="s">
        <v>15</v>
      </c>
      <c r="AA19" s="142" t="s">
        <v>15</v>
      </c>
      <c r="AB19" s="180"/>
    </row>
    <row r="20" spans="1:28" ht="30" customHeight="1" x14ac:dyDescent="0.25">
      <c r="A20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Q_IQ</v>
      </c>
      <c r="B20" s="136" t="s">
        <v>96</v>
      </c>
      <c r="C20" s="176"/>
      <c r="D20" s="136" t="s">
        <v>91</v>
      </c>
      <c r="E20" s="136" t="s">
        <v>82</v>
      </c>
      <c r="F20" s="136" t="s">
        <v>15</v>
      </c>
      <c r="G20" s="175">
        <v>6.666666666666667</v>
      </c>
      <c r="H20" s="176"/>
      <c r="I20" s="175"/>
      <c r="J20" s="175"/>
      <c r="K20" s="175"/>
      <c r="L20" s="175"/>
      <c r="M20" s="175"/>
      <c r="N20" s="175" t="str">
        <f t="shared" si="0"/>
        <v>1111111</v>
      </c>
      <c r="O20" s="175"/>
      <c r="P20" s="175"/>
      <c r="Q20" s="175">
        <f>Tabela1453[[#This Row],[Saída]]-Tabela1453[[#This Row],[Entrada]]</f>
        <v>0</v>
      </c>
      <c r="R20" s="177" t="e">
        <f>Tabela1453[[#This Row],[Carga Horária]]/Q20</f>
        <v>#DIV/0!</v>
      </c>
      <c r="S20" s="178"/>
      <c r="T20" s="44" t="e">
        <f>WORKDAY.INTL(S20-1,R20,Tabela1453[[#This Row],[Padrão]],Calendário!$R$4:$R$35)</f>
        <v>#NUM!</v>
      </c>
      <c r="U20" s="142"/>
      <c r="V20" s="179">
        <v>32</v>
      </c>
      <c r="W20" s="180">
        <v>47.5</v>
      </c>
      <c r="X20" s="181" t="str">
        <f>IF(Tabela1453[[#This Row],[Fonte Pagadora]]="Anna de Moura",(W20*G20*24),"-")</f>
        <v>-</v>
      </c>
      <c r="Y20" s="182"/>
      <c r="Z20" s="142" t="s">
        <v>15</v>
      </c>
      <c r="AA20" s="142" t="s">
        <v>15</v>
      </c>
      <c r="AB20" s="180"/>
    </row>
    <row r="21" spans="1:28" ht="30" customHeight="1" x14ac:dyDescent="0.25">
      <c r="A21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I_M </v>
      </c>
      <c r="B21" s="42" t="s">
        <v>141</v>
      </c>
      <c r="C21" s="47"/>
      <c r="D21" s="42" t="s">
        <v>179</v>
      </c>
      <c r="E21" s="42" t="s">
        <v>84</v>
      </c>
      <c r="F21" s="42" t="s">
        <v>191</v>
      </c>
      <c r="G21" s="43">
        <v>1.25</v>
      </c>
      <c r="H21" s="47"/>
      <c r="I21" s="43"/>
      <c r="J21" s="43" t="s">
        <v>100</v>
      </c>
      <c r="K21" s="43"/>
      <c r="L21" s="43"/>
      <c r="M21" s="43"/>
      <c r="N21" s="43" t="str">
        <f t="shared" ref="N21:N29" si="3">IF(I21="X","0","1")&amp;IF(J21="X","0","1")&amp;IF(K21="X","0","1")&amp;IF(L21="X","0","1")&amp;IF(M21="X","0","1")&amp;"11"</f>
        <v>1011111</v>
      </c>
      <c r="O21" s="43">
        <v>0.58333333333333337</v>
      </c>
      <c r="P21" s="43">
        <v>0.70833333333333337</v>
      </c>
      <c r="Q21" s="43">
        <f>Tabela1453[[#This Row],[Saída]]-Tabela1453[[#This Row],[Entrada]]</f>
        <v>0.125</v>
      </c>
      <c r="R21" s="130">
        <f>Tabela1453[[#This Row],[Carga Horária]]/Q21</f>
        <v>10</v>
      </c>
      <c r="S21" s="44">
        <v>45706</v>
      </c>
      <c r="T21" s="44">
        <f>WORKDAY.INTL(S21-1,R21,Tabela1453[[#This Row],[Padrão]],Calendário!$R$4:$R$35)</f>
        <v>45776</v>
      </c>
      <c r="U21" s="45" t="s">
        <v>198</v>
      </c>
      <c r="V21" s="46">
        <v>20</v>
      </c>
      <c r="W21" s="9">
        <v>47.5</v>
      </c>
      <c r="X21" s="51">
        <f>IF(Tabela1453[[#This Row],[Fonte Pagadora]]="Anna de Moura",(W21*G21*24),"-")</f>
        <v>1425</v>
      </c>
      <c r="Y21" s="41"/>
      <c r="Z21" s="45" t="s">
        <v>5</v>
      </c>
      <c r="AA21" s="45" t="s">
        <v>5</v>
      </c>
      <c r="AB21" s="9"/>
    </row>
    <row r="22" spans="1:28" ht="30" customHeight="1" x14ac:dyDescent="0.25">
      <c r="A22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I_DS</v>
      </c>
      <c r="B22" s="42" t="s">
        <v>148</v>
      </c>
      <c r="C22" s="47"/>
      <c r="D22" s="42" t="s">
        <v>179</v>
      </c>
      <c r="E22" s="42" t="s">
        <v>84</v>
      </c>
      <c r="F22" s="42" t="s">
        <v>191</v>
      </c>
      <c r="G22" s="43">
        <v>0.83333333333333337</v>
      </c>
      <c r="H22" s="47"/>
      <c r="I22" s="43"/>
      <c r="J22" s="43" t="s">
        <v>100</v>
      </c>
      <c r="K22" s="43"/>
      <c r="L22" s="43"/>
      <c r="M22" s="43"/>
      <c r="N22" s="43" t="str">
        <f t="shared" si="3"/>
        <v>1011111</v>
      </c>
      <c r="O22" s="43">
        <v>0.58333333333333337</v>
      </c>
      <c r="P22" s="43">
        <v>0.70833333333333337</v>
      </c>
      <c r="Q22" s="43">
        <f>Tabela1453[[#This Row],[Saída]]-Tabela1453[[#This Row],[Entrada]]</f>
        <v>0.125</v>
      </c>
      <c r="R22" s="130">
        <f>Tabela1453[[#This Row],[Carga Horária]]/Q22</f>
        <v>6.666666666666667</v>
      </c>
      <c r="S22" s="44">
        <v>45790</v>
      </c>
      <c r="T22" s="44">
        <f>WORKDAY.INTL(S22-1,R22,Tabela1453[[#This Row],[Padrão]],Calendário!$R$4:$R$35)</f>
        <v>45825</v>
      </c>
      <c r="U22" s="45" t="s">
        <v>198</v>
      </c>
      <c r="V22" s="46">
        <v>20</v>
      </c>
      <c r="W22" s="9">
        <v>47.5</v>
      </c>
      <c r="X22" s="51">
        <f>IF(Tabela1453[[#This Row],[Fonte Pagadora]]="Anna de Moura",(W22*G22*24),"-")</f>
        <v>950</v>
      </c>
      <c r="Y22" s="41"/>
      <c r="Z22" s="45" t="s">
        <v>5</v>
      </c>
      <c r="AA22" s="45" t="s">
        <v>5</v>
      </c>
      <c r="AB22" s="9"/>
    </row>
    <row r="23" spans="1:28" ht="30" customHeight="1" x14ac:dyDescent="0.25">
      <c r="A2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I_F </v>
      </c>
      <c r="B23" s="42" t="s">
        <v>145</v>
      </c>
      <c r="C23" s="47" t="s">
        <v>137</v>
      </c>
      <c r="D23" s="42" t="s">
        <v>180</v>
      </c>
      <c r="E23" s="42" t="s">
        <v>84</v>
      </c>
      <c r="F23" s="42" t="s">
        <v>192</v>
      </c>
      <c r="G23" s="43">
        <v>1.4583333333333333</v>
      </c>
      <c r="H23" s="47"/>
      <c r="I23" s="43"/>
      <c r="J23" s="43"/>
      <c r="K23" s="43"/>
      <c r="L23" s="43" t="s">
        <v>100</v>
      </c>
      <c r="M23" s="43"/>
      <c r="N23" s="43" t="str">
        <f t="shared" si="3"/>
        <v>1110111</v>
      </c>
      <c r="O23" s="134">
        <v>0.66666666666666663</v>
      </c>
      <c r="P23" s="134">
        <v>0.75</v>
      </c>
      <c r="Q23" s="43">
        <f>Tabela1453[[#This Row],[Saída]]-Tabela1453[[#This Row],[Entrada]]</f>
        <v>8.333333333333337E-2</v>
      </c>
      <c r="R23" s="130">
        <f>Tabela1453[[#This Row],[Carga Horária]]/Q23</f>
        <v>17.499999999999993</v>
      </c>
      <c r="S23" s="44">
        <v>45701</v>
      </c>
      <c r="T23" s="44">
        <f>WORKDAY.INTL(S23-1,R23,Tabela1453[[#This Row],[Padrão]],Calendário!$R$4:$R$35)</f>
        <v>45834</v>
      </c>
      <c r="U23" s="45" t="s">
        <v>151</v>
      </c>
      <c r="V23" s="46">
        <v>25</v>
      </c>
      <c r="W23" s="9">
        <v>47.5</v>
      </c>
      <c r="X23" s="51">
        <f>IF(Tabela1453[[#This Row],[Fonte Pagadora]]="Anna de Moura",(W23*G23*24),"-")</f>
        <v>1662.5</v>
      </c>
      <c r="Y23" s="41"/>
      <c r="Z23" s="45" t="s">
        <v>5</v>
      </c>
      <c r="AA23" s="45" t="s">
        <v>5</v>
      </c>
      <c r="AB23" s="9"/>
    </row>
    <row r="24" spans="1:28" ht="30" customHeight="1" x14ac:dyDescent="0.25">
      <c r="A2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I_F </v>
      </c>
      <c r="B24" s="42" t="s">
        <v>145</v>
      </c>
      <c r="C24" s="47" t="s">
        <v>138</v>
      </c>
      <c r="D24" s="42" t="s">
        <v>180</v>
      </c>
      <c r="E24" s="42" t="s">
        <v>84</v>
      </c>
      <c r="F24" s="42" t="s">
        <v>192</v>
      </c>
      <c r="G24" s="43">
        <v>1.4583333333333333</v>
      </c>
      <c r="H24" s="47"/>
      <c r="I24" s="43"/>
      <c r="J24" s="43"/>
      <c r="K24" s="43"/>
      <c r="L24" s="43" t="s">
        <v>100</v>
      </c>
      <c r="M24" s="43"/>
      <c r="N24" s="43" t="str">
        <f t="shared" si="3"/>
        <v>1110111</v>
      </c>
      <c r="O24" s="134">
        <v>0.79166666666666663</v>
      </c>
      <c r="P24" s="134">
        <v>0.875</v>
      </c>
      <c r="Q24" s="43">
        <f>Tabela1453[[#This Row],[Saída]]-Tabela1453[[#This Row],[Entrada]]</f>
        <v>8.333333333333337E-2</v>
      </c>
      <c r="R24" s="130">
        <f>Tabela1453[[#This Row],[Carga Horária]]/Q24</f>
        <v>17.499999999999993</v>
      </c>
      <c r="S24" s="44">
        <v>45701</v>
      </c>
      <c r="T24" s="44">
        <f>WORKDAY.INTL(S24-1,R24,Tabela1453[[#This Row],[Padrão]],Calendário!$R$4:$R$35)</f>
        <v>45834</v>
      </c>
      <c r="U24" s="45" t="s">
        <v>150</v>
      </c>
      <c r="V24" s="46">
        <v>25</v>
      </c>
      <c r="W24" s="9">
        <v>47.5</v>
      </c>
      <c r="X24" s="51">
        <f>IF(Tabela1453[[#This Row],[Fonte Pagadora]]="Anna de Moura",(W24*G24*24),"-")</f>
        <v>1662.5</v>
      </c>
      <c r="Y24" s="41"/>
      <c r="Z24" s="45" t="s">
        <v>5</v>
      </c>
      <c r="AA24" s="45" t="s">
        <v>5</v>
      </c>
      <c r="AB24" s="9"/>
    </row>
    <row r="25" spans="1:28" ht="30" customHeight="1" x14ac:dyDescent="0.25">
      <c r="A2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I_G </v>
      </c>
      <c r="B25" s="42" t="s">
        <v>149</v>
      </c>
      <c r="C25" s="47" t="s">
        <v>137</v>
      </c>
      <c r="D25" s="42" t="s">
        <v>179</v>
      </c>
      <c r="E25" s="42" t="s">
        <v>84</v>
      </c>
      <c r="F25" s="42" t="s">
        <v>193</v>
      </c>
      <c r="G25" s="43">
        <v>0.79166666666666663</v>
      </c>
      <c r="H25" s="47"/>
      <c r="I25" s="43"/>
      <c r="J25" s="43"/>
      <c r="K25" s="43" t="s">
        <v>100</v>
      </c>
      <c r="L25" s="43"/>
      <c r="M25" s="43"/>
      <c r="N25" s="43" t="str">
        <f t="shared" si="3"/>
        <v>1101111</v>
      </c>
      <c r="O25" s="43">
        <v>0.70833333333333337</v>
      </c>
      <c r="P25" s="43">
        <v>0.75</v>
      </c>
      <c r="Q25" s="43">
        <f>Tabela1453[[#This Row],[Saída]]-Tabela1453[[#This Row],[Entrada]]</f>
        <v>4.166666666666663E-2</v>
      </c>
      <c r="R25" s="130">
        <f>Tabela1453[[#This Row],[Carga Horária]]/Q25</f>
        <v>19.000000000000014</v>
      </c>
      <c r="S25" s="44">
        <v>45700</v>
      </c>
      <c r="T25" s="44">
        <f>WORKDAY.INTL(S25-1,R25,Tabela1453[[#This Row],[Padrão]],Calendário!$R$4:$R$35)</f>
        <v>45826</v>
      </c>
      <c r="U25" s="45" t="s">
        <v>198</v>
      </c>
      <c r="V25" s="46">
        <v>30</v>
      </c>
      <c r="W25" s="9">
        <v>47.5</v>
      </c>
      <c r="X25" s="51">
        <f>IF(Tabela1453[[#This Row],[Fonte Pagadora]]="Anna de Moura",(W25*G25*24),"-")</f>
        <v>902.5</v>
      </c>
      <c r="Y25" s="41"/>
      <c r="Z25" s="45" t="s">
        <v>5</v>
      </c>
      <c r="AA25" s="45" t="s">
        <v>5</v>
      </c>
      <c r="AB25" s="9"/>
    </row>
    <row r="26" spans="1:28" ht="30" customHeight="1" x14ac:dyDescent="0.25">
      <c r="A26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I_T </v>
      </c>
      <c r="B26" s="42" t="s">
        <v>152</v>
      </c>
      <c r="C26" s="47" t="s">
        <v>137</v>
      </c>
      <c r="D26" s="42" t="s">
        <v>181</v>
      </c>
      <c r="E26" s="42" t="s">
        <v>84</v>
      </c>
      <c r="F26" s="42" t="s">
        <v>194</v>
      </c>
      <c r="G26" s="43">
        <v>1.6666666666666667</v>
      </c>
      <c r="H26" s="47"/>
      <c r="I26" s="43"/>
      <c r="J26" s="43"/>
      <c r="K26" s="43" t="s">
        <v>100</v>
      </c>
      <c r="L26" s="43"/>
      <c r="M26" s="43"/>
      <c r="N26" s="43" t="str">
        <f t="shared" si="3"/>
        <v>1101111</v>
      </c>
      <c r="O26" s="43">
        <v>0.79166666666666663</v>
      </c>
      <c r="P26" s="43">
        <v>0.875</v>
      </c>
      <c r="Q26" s="43">
        <f>Tabela1453[[#This Row],[Saída]]-Tabela1453[[#This Row],[Entrada]]</f>
        <v>8.333333333333337E-2</v>
      </c>
      <c r="R26" s="130">
        <f>Tabela1453[[#This Row],[Carga Horária]]/Q26</f>
        <v>19.999999999999993</v>
      </c>
      <c r="S26" s="44">
        <v>45700</v>
      </c>
      <c r="T26" s="44">
        <f>WORKDAY.INTL(S26-1,R26,Tabela1453[[#This Row],[Padrão]],Calendário!$R$4:$R$35)</f>
        <v>45826</v>
      </c>
      <c r="U26" s="135"/>
      <c r="V26" s="46">
        <v>30</v>
      </c>
      <c r="W26" s="9">
        <v>47.5</v>
      </c>
      <c r="X26" s="51">
        <f>IF(Tabela1453[[#This Row],[Fonte Pagadora]]="Anna de Moura",(W26*G26*24),"-")</f>
        <v>1900</v>
      </c>
      <c r="Y26" s="41"/>
      <c r="Z26" s="45" t="s">
        <v>5</v>
      </c>
      <c r="AA26" s="45" t="s">
        <v>5</v>
      </c>
      <c r="AB26" s="9"/>
    </row>
    <row r="27" spans="1:28" ht="30" customHeight="1" x14ac:dyDescent="0.25">
      <c r="A27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I_I </v>
      </c>
      <c r="B27" s="42" t="s">
        <v>153</v>
      </c>
      <c r="C27" s="47"/>
      <c r="D27" s="42" t="s">
        <v>182</v>
      </c>
      <c r="E27" s="42" t="s">
        <v>84</v>
      </c>
      <c r="F27" s="42" t="s">
        <v>195</v>
      </c>
      <c r="G27" s="43">
        <v>3.3333333333333335</v>
      </c>
      <c r="H27" s="47"/>
      <c r="I27" s="43"/>
      <c r="J27" s="43" t="s">
        <v>100</v>
      </c>
      <c r="K27" s="43" t="s">
        <v>100</v>
      </c>
      <c r="L27" s="43"/>
      <c r="M27" s="43"/>
      <c r="N27" s="43" t="str">
        <f t="shared" si="3"/>
        <v>1001111</v>
      </c>
      <c r="O27" s="43">
        <v>0.625</v>
      </c>
      <c r="P27" s="43">
        <v>0.75</v>
      </c>
      <c r="Q27" s="43">
        <f>Tabela1453[[#This Row],[Saída]]-Tabela1453[[#This Row],[Entrada]]</f>
        <v>0.125</v>
      </c>
      <c r="R27" s="130">
        <f>Tabela1453[[#This Row],[Carga Horária]]/Q27</f>
        <v>26.666666666666668</v>
      </c>
      <c r="S27" s="44">
        <v>45699</v>
      </c>
      <c r="T27" s="44">
        <f>WORKDAY.INTL(S27-1,R27,Tabela1453[[#This Row],[Padrão]],Calendário!$R$4:$R$35)</f>
        <v>45790</v>
      </c>
      <c r="U27" s="45" t="s">
        <v>200</v>
      </c>
      <c r="V27" s="46">
        <v>32</v>
      </c>
      <c r="W27" s="9">
        <v>47.5</v>
      </c>
      <c r="X27" s="51">
        <f>IF(Tabela1453[[#This Row],[Fonte Pagadora]]="Anna de Moura",(W27*G27*24),"-")</f>
        <v>3800</v>
      </c>
      <c r="Y27" s="41"/>
      <c r="Z27" s="45" t="s">
        <v>5</v>
      </c>
      <c r="AA27" s="45" t="s">
        <v>5</v>
      </c>
      <c r="AB27" s="9"/>
    </row>
    <row r="28" spans="1:28" ht="30" customHeight="1" x14ac:dyDescent="0.25">
      <c r="A28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I_I </v>
      </c>
      <c r="B28" s="42" t="s">
        <v>153</v>
      </c>
      <c r="C28" s="47"/>
      <c r="D28" s="42" t="s">
        <v>182</v>
      </c>
      <c r="E28" s="42" t="s">
        <v>84</v>
      </c>
      <c r="F28" s="42" t="s">
        <v>195</v>
      </c>
      <c r="G28" s="43">
        <v>3.3333333333333335</v>
      </c>
      <c r="H28" s="47"/>
      <c r="I28" s="43"/>
      <c r="J28" s="43" t="s">
        <v>100</v>
      </c>
      <c r="K28" s="43" t="s">
        <v>100</v>
      </c>
      <c r="L28" s="43"/>
      <c r="M28" s="43"/>
      <c r="N28" s="43" t="str">
        <f t="shared" si="3"/>
        <v>1001111</v>
      </c>
      <c r="O28" s="43">
        <v>0.79166666666666663</v>
      </c>
      <c r="P28" s="43">
        <v>0.91666666666666663</v>
      </c>
      <c r="Q28" s="43">
        <f>Tabela1453[[#This Row],[Saída]]-Tabela1453[[#This Row],[Entrada]]</f>
        <v>0.125</v>
      </c>
      <c r="R28" s="130">
        <f>Tabela1453[[#This Row],[Carga Horária]]/Q28</f>
        <v>26.666666666666668</v>
      </c>
      <c r="S28" s="44">
        <v>45699</v>
      </c>
      <c r="T28" s="44">
        <f>WORKDAY.INTL(S28-1,R28,Tabela1453[[#This Row],[Padrão]],Calendário!$R$4:$R$35)</f>
        <v>45790</v>
      </c>
      <c r="U28" s="45" t="s">
        <v>199</v>
      </c>
      <c r="V28" s="46">
        <v>32</v>
      </c>
      <c r="W28" s="9">
        <v>47.5</v>
      </c>
      <c r="X28" s="51">
        <f>IF(Tabela1453[[#This Row],[Fonte Pagadora]]="Anna de Moura",(W28*G28*24),"-")</f>
        <v>3800</v>
      </c>
      <c r="Y28" s="41"/>
      <c r="Z28" s="45" t="s">
        <v>5</v>
      </c>
      <c r="AA28" s="45" t="s">
        <v>5</v>
      </c>
      <c r="AB28" s="9"/>
    </row>
    <row r="29" spans="1:28" s="148" customFormat="1" ht="30" customHeight="1" x14ac:dyDescent="0.25">
      <c r="A29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I_P </v>
      </c>
      <c r="B29" s="42" t="s">
        <v>178</v>
      </c>
      <c r="C29" s="47"/>
      <c r="D29" s="42" t="s">
        <v>76</v>
      </c>
      <c r="E29" s="42" t="s">
        <v>84</v>
      </c>
      <c r="F29" s="42" t="s">
        <v>188</v>
      </c>
      <c r="G29" s="43">
        <v>1.25</v>
      </c>
      <c r="H29" s="47"/>
      <c r="I29" s="43"/>
      <c r="J29" s="43" t="s">
        <v>100</v>
      </c>
      <c r="K29" s="43"/>
      <c r="L29" s="43" t="s">
        <v>100</v>
      </c>
      <c r="M29" s="43"/>
      <c r="N29" s="43" t="str">
        <f t="shared" si="3"/>
        <v>1010111</v>
      </c>
      <c r="O29" s="43">
        <v>0.79166666666666663</v>
      </c>
      <c r="P29" s="43">
        <v>0.91666666666666663</v>
      </c>
      <c r="Q29" s="43">
        <f>Tabela1453[[#This Row],[Saída]]-Tabela1453[[#This Row],[Entrada]]</f>
        <v>0.125</v>
      </c>
      <c r="R29" s="130">
        <f>Tabela1453[[#This Row],[Carga Horária]]/Q29</f>
        <v>10</v>
      </c>
      <c r="S29" s="44">
        <v>45783</v>
      </c>
      <c r="T29" s="44">
        <f>WORKDAY.INTL(S29-1,R29,Tabela1453[[#This Row],[Padrão]],Calendário!$R$4:$R$35)</f>
        <v>45813</v>
      </c>
      <c r="U29" s="45"/>
      <c r="V29" s="46">
        <v>20</v>
      </c>
      <c r="W29" s="9">
        <v>47.5</v>
      </c>
      <c r="X29" s="51">
        <f>IF(Tabela1453[[#This Row],[Fonte Pagadora]]="Anna de Moura",(W29*G29*24),"-")</f>
        <v>1425</v>
      </c>
      <c r="Y29" s="184"/>
      <c r="Z29" s="45" t="s">
        <v>5</v>
      </c>
      <c r="AA29" s="45" t="s">
        <v>5</v>
      </c>
      <c r="AB29" s="9"/>
    </row>
    <row r="30" spans="1:28" s="11" customFormat="1" ht="18.75" x14ac:dyDescent="0.3">
      <c r="A30" s="21" t="s">
        <v>13</v>
      </c>
      <c r="B30" s="21"/>
      <c r="C30" s="23"/>
      <c r="D30" s="21"/>
      <c r="E30" s="21"/>
      <c r="F30" s="21"/>
      <c r="G30" s="22"/>
      <c r="H30" s="23"/>
      <c r="I30" s="24"/>
      <c r="J30" s="22"/>
      <c r="K30" s="22"/>
      <c r="L30" s="22"/>
      <c r="M30" s="22"/>
      <c r="N30" s="22"/>
      <c r="O30" s="22"/>
      <c r="P30" s="22"/>
      <c r="Q30" s="22"/>
      <c r="R30" s="131"/>
      <c r="S30" s="25"/>
      <c r="T30" s="26"/>
      <c r="U30" s="22"/>
      <c r="V30" s="22">
        <f>SUBTOTAL(109,Tabela1453[Capac. Máx.])</f>
        <v>622</v>
      </c>
      <c r="W30" s="27"/>
      <c r="X30" s="52">
        <f>SUBTOTAL(109,Tabela1453[Valor Previsto])</f>
        <v>50492.5</v>
      </c>
      <c r="Y30" s="28"/>
      <c r="Z30" s="23"/>
      <c r="AA30" s="23"/>
      <c r="AB30" s="28"/>
    </row>
    <row r="31" spans="1:28" x14ac:dyDescent="0.25">
      <c r="G31" s="6"/>
      <c r="H31" s="15"/>
      <c r="I31" s="6"/>
      <c r="J31" s="6"/>
      <c r="K31" s="6"/>
      <c r="L31" s="6"/>
      <c r="M31" s="6"/>
      <c r="N31" s="6"/>
      <c r="O31" s="6"/>
      <c r="P31" s="6"/>
      <c r="Q31" s="6"/>
      <c r="R31" s="132"/>
      <c r="S31" s="6"/>
      <c r="T31" s="6"/>
      <c r="U31" s="6"/>
      <c r="V31" s="6"/>
      <c r="W31" s="7"/>
      <c r="X31" s="53">
        <f>BANDA!C73/2</f>
        <v>11827.5</v>
      </c>
      <c r="Y31" s="39"/>
      <c r="Z31" s="8"/>
      <c r="AA31" s="8"/>
    </row>
    <row r="32" spans="1:28" ht="30" customHeight="1" x14ac:dyDescent="0.25">
      <c r="G32" s="6"/>
      <c r="H32" s="15"/>
      <c r="I32" s="6"/>
      <c r="J32" s="6"/>
      <c r="K32" s="6"/>
      <c r="L32" s="6"/>
      <c r="M32" s="6"/>
      <c r="N32" s="6"/>
      <c r="O32" s="6"/>
      <c r="P32" s="6"/>
      <c r="Q32" s="6"/>
      <c r="R32" s="132"/>
      <c r="S32" s="6"/>
      <c r="T32" s="6"/>
      <c r="U32" s="6"/>
      <c r="V32" s="6"/>
      <c r="W32" s="7"/>
      <c r="X32" s="185">
        <f>Tabela1453[[#Totals],[Valor Previsto]]+X31</f>
        <v>62320</v>
      </c>
      <c r="Y32" s="39"/>
      <c r="Z32" s="8"/>
      <c r="AA32" s="8"/>
    </row>
    <row r="33" spans="1:30" x14ac:dyDescent="0.25">
      <c r="A33"/>
      <c r="B33"/>
      <c r="C33" s="49"/>
      <c r="D33"/>
      <c r="E33"/>
      <c r="F33"/>
      <c r="G33"/>
      <c r="H33" s="15"/>
      <c r="I33" s="6"/>
      <c r="J33" s="6"/>
      <c r="K33" s="6"/>
      <c r="L33" s="6"/>
      <c r="M33" s="6"/>
      <c r="N33" s="6"/>
      <c r="O33" s="6"/>
      <c r="P33" s="6"/>
      <c r="Q33" s="6"/>
      <c r="R33" s="132"/>
      <c r="S33" s="6"/>
      <c r="T33" s="6"/>
      <c r="U33" s="6"/>
      <c r="V33" s="6"/>
      <c r="W33" s="7"/>
      <c r="X33" s="54"/>
      <c r="Y33" s="39"/>
      <c r="Z33" s="8"/>
      <c r="AA33" s="8"/>
    </row>
    <row r="34" spans="1:30" x14ac:dyDescent="0.25">
      <c r="A34"/>
      <c r="B34"/>
      <c r="C34" s="49"/>
      <c r="D34"/>
      <c r="E34"/>
      <c r="F34"/>
      <c r="G34"/>
    </row>
    <row r="35" spans="1:30" x14ac:dyDescent="0.25">
      <c r="A35"/>
      <c r="B35"/>
      <c r="C35" s="49"/>
      <c r="D35"/>
      <c r="E35"/>
      <c r="F35"/>
      <c r="G35"/>
    </row>
    <row r="36" spans="1:30" x14ac:dyDescent="0.25">
      <c r="A36"/>
      <c r="B36"/>
      <c r="C36" s="49"/>
      <c r="D36"/>
      <c r="E36"/>
      <c r="F36"/>
      <c r="G36"/>
    </row>
    <row r="37" spans="1:30" x14ac:dyDescent="0.25">
      <c r="A37"/>
      <c r="B37"/>
      <c r="C37" s="49"/>
      <c r="D37"/>
      <c r="E37"/>
      <c r="F37"/>
      <c r="G37"/>
    </row>
    <row r="44" spans="1:30" s="226" customFormat="1" ht="30" customHeight="1" x14ac:dyDescent="0.25">
      <c r="A44" s="216"/>
      <c r="B44" s="228" t="s">
        <v>88</v>
      </c>
      <c r="C44" s="217" t="s">
        <v>138</v>
      </c>
      <c r="D44" s="217" t="s">
        <v>228</v>
      </c>
      <c r="E44" s="216" t="s">
        <v>90</v>
      </c>
      <c r="F44" s="216" t="s">
        <v>82</v>
      </c>
      <c r="G44" s="216" t="s">
        <v>246</v>
      </c>
      <c r="H44" s="218">
        <v>6.666666666666667</v>
      </c>
      <c r="I44" s="218"/>
      <c r="J44" s="218" t="s">
        <v>139</v>
      </c>
      <c r="K44" s="218" t="s">
        <v>139</v>
      </c>
      <c r="L44" s="218" t="s">
        <v>139</v>
      </c>
      <c r="M44" s="218"/>
      <c r="N44" s="218" t="str">
        <f>IF(I44="X","0","1")&amp;IF(J44="X","0","1")&amp;IF(K44="X","0","1")&amp;IF(L44="X","0","1")&amp;IF(M44="X","0","1")&amp;"11"</f>
        <v>1000111</v>
      </c>
      <c r="O44" s="218">
        <v>0.79166666666666663</v>
      </c>
      <c r="P44" s="218">
        <v>0.91666666666666663</v>
      </c>
      <c r="Q44" s="218">
        <f>Planejamento2025[[#This Row],[Saída]]-Planejamento2025[[#This Row],[Entrada]]</f>
        <v>0.125</v>
      </c>
      <c r="R44" s="219">
        <f>Planejamento2025[[#This Row],[Carga Horária]]/Q44</f>
        <v>13.333333333333334</v>
      </c>
      <c r="S44" s="220">
        <v>45825</v>
      </c>
      <c r="T44" s="220">
        <v>46007</v>
      </c>
      <c r="U44" s="221" t="s">
        <v>198</v>
      </c>
      <c r="V44" s="222">
        <v>16</v>
      </c>
      <c r="W44" s="223" t="s">
        <v>241</v>
      </c>
      <c r="X44" s="229" t="str">
        <f>IF(Planejamento2025[[#This Row],[Fonte Pagadora]]="Anna de Moura",(W44*H44*24),"-")</f>
        <v>-</v>
      </c>
      <c r="Y44" s="224"/>
      <c r="Z44" s="224"/>
      <c r="AA44" s="294"/>
      <c r="AB44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4" s="221" t="s">
        <v>15</v>
      </c>
      <c r="AD44" s="221" t="s">
        <v>15</v>
      </c>
    </row>
    <row r="45" spans="1:30" s="226" customFormat="1" ht="30" customHeight="1" x14ac:dyDescent="0.25">
      <c r="A45" s="216"/>
      <c r="B45" s="228" t="s">
        <v>249</v>
      </c>
      <c r="C45" s="217" t="s">
        <v>137</v>
      </c>
      <c r="D45" s="217" t="s">
        <v>230</v>
      </c>
      <c r="E45" s="216"/>
      <c r="F45" s="216" t="s">
        <v>82</v>
      </c>
      <c r="G45" s="216" t="s">
        <v>246</v>
      </c>
      <c r="H45" s="218">
        <v>6.666666666666667</v>
      </c>
      <c r="I45" s="218"/>
      <c r="J45" s="218" t="s">
        <v>100</v>
      </c>
      <c r="K45" s="218" t="s">
        <v>100</v>
      </c>
      <c r="L45" s="218"/>
      <c r="M45" s="218"/>
      <c r="N45" s="218" t="str">
        <f>IF(I45="X","0","1")&amp;IF(J45="X","0","1")&amp;IF(K45="X","0","1")&amp;IF(L45="X","0","1")&amp;IF(M45="X","0","1")&amp;"11"</f>
        <v>1001111</v>
      </c>
      <c r="O45" s="218">
        <v>0.58333333333333337</v>
      </c>
      <c r="P45" s="218">
        <v>0.70833333333333337</v>
      </c>
      <c r="Q45" s="218">
        <f>Planejamento2025[[#This Row],[Saída]]-Planejamento2025[[#This Row],[Entrada]]</f>
        <v>0.125</v>
      </c>
      <c r="R45" s="219">
        <f>Planejamento2025[[#This Row],[Carga Horária]]/Q45</f>
        <v>20</v>
      </c>
      <c r="S45" s="220">
        <v>45860</v>
      </c>
      <c r="T45" s="220">
        <v>46008</v>
      </c>
      <c r="U45" s="221" t="s">
        <v>199</v>
      </c>
      <c r="V45" s="222">
        <v>16</v>
      </c>
      <c r="W45" s="223"/>
      <c r="X45" s="229">
        <f>IF(Planejamento2025[[#This Row],[Fonte Pagadora]]="Anna de Moura",(W45*H45*24),"-")</f>
        <v>0</v>
      </c>
      <c r="Y45" s="224"/>
      <c r="Z45" s="224"/>
      <c r="AA45" s="294"/>
      <c r="AB45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5" s="221" t="s">
        <v>15</v>
      </c>
      <c r="AD45" s="221" t="s">
        <v>15</v>
      </c>
    </row>
    <row r="46" spans="1:30" s="201" customFormat="1" ht="30" customHeight="1" x14ac:dyDescent="0.25">
      <c r="A46" s="216"/>
      <c r="B46" s="228" t="s">
        <v>244</v>
      </c>
      <c r="C46" s="217" t="s">
        <v>137</v>
      </c>
      <c r="D46" s="217" t="s">
        <v>230</v>
      </c>
      <c r="E46" s="216" t="s">
        <v>90</v>
      </c>
      <c r="F46" s="216" t="s">
        <v>83</v>
      </c>
      <c r="G46" s="216" t="s">
        <v>246</v>
      </c>
      <c r="H46" s="218">
        <v>1</v>
      </c>
      <c r="I46" s="218" t="s">
        <v>100</v>
      </c>
      <c r="J46" s="218"/>
      <c r="K46" s="218" t="s">
        <v>100</v>
      </c>
      <c r="L46" s="218"/>
      <c r="M46" s="218" t="s">
        <v>100</v>
      </c>
      <c r="N46" s="218" t="str">
        <f>IF(I46="X","0","1")&amp;IF(J46="X","0","1")&amp;IF(K46="X","0","1")&amp;IF(L46="X","0","1")&amp;IF(M46="X","0","1")&amp;"11"</f>
        <v>0101011</v>
      </c>
      <c r="O46" s="218">
        <v>0.58333333333333337</v>
      </c>
      <c r="P46" s="218">
        <v>0.70833333333333337</v>
      </c>
      <c r="Q46" s="218">
        <f>Planejamento2025[[#This Row],[Saída]]-Planejamento2025[[#This Row],[Entrada]]</f>
        <v>8.333333333333337E-2</v>
      </c>
      <c r="R46" s="219">
        <f>Planejamento2025[[#This Row],[Carga Horária]]/Q46</f>
        <v>19.999999999999993</v>
      </c>
      <c r="S46" s="220">
        <v>45880</v>
      </c>
      <c r="T46" s="220">
        <v>45896</v>
      </c>
      <c r="U46" s="221" t="s">
        <v>198</v>
      </c>
      <c r="V46" s="222">
        <v>16</v>
      </c>
      <c r="W46" s="223" t="s">
        <v>241</v>
      </c>
      <c r="X46" s="229" t="e">
        <f>IF(Planejamento2025[[#This Row],[Fonte Pagadora]]="Anna de Moura",(W46*H46*24),"-")</f>
        <v>#VALUE!</v>
      </c>
      <c r="Y46" s="224"/>
      <c r="Z46" s="224"/>
      <c r="AA46" s="294"/>
      <c r="AB46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6" s="221" t="s">
        <v>15</v>
      </c>
      <c r="AD46" s="221" t="s">
        <v>15</v>
      </c>
    </row>
    <row r="47" spans="1:30" s="201" customFormat="1" ht="30" customHeight="1" x14ac:dyDescent="0.25">
      <c r="A47" s="216"/>
      <c r="B47" s="228" t="s">
        <v>243</v>
      </c>
      <c r="C47" s="217" t="s">
        <v>137</v>
      </c>
      <c r="D47" s="217" t="s">
        <v>230</v>
      </c>
      <c r="E47" s="216" t="s">
        <v>90</v>
      </c>
      <c r="F47" s="216" t="s">
        <v>83</v>
      </c>
      <c r="G47" s="216" t="s">
        <v>246</v>
      </c>
      <c r="H47" s="218">
        <v>0.66666666666666663</v>
      </c>
      <c r="I47" s="218" t="s">
        <v>100</v>
      </c>
      <c r="J47" s="218"/>
      <c r="K47" s="218" t="s">
        <v>100</v>
      </c>
      <c r="L47" s="218"/>
      <c r="M47" s="218"/>
      <c r="N47" s="218" t="str">
        <f>IF(I47="X","0","1")&amp;IF(J47="X","0","1")&amp;IF(K47="X","0","1")&amp;IF(L47="X","0","1")&amp;IF(M47="X","0","1")&amp;"11"</f>
        <v>0101111</v>
      </c>
      <c r="O47" s="218">
        <v>0.58333333333333337</v>
      </c>
      <c r="P47" s="218">
        <v>0.70833333333333337</v>
      </c>
      <c r="Q47" s="218">
        <f>Planejamento2025[[#This Row],[Saída]]-Planejamento2025[[#This Row],[Entrada]]</f>
        <v>8.333333333333337E-2</v>
      </c>
      <c r="R47" s="219">
        <f>Planejamento2025[[#This Row],[Carga Horária]]/Q47</f>
        <v>19.999999999999993</v>
      </c>
      <c r="S47" s="220">
        <v>45915</v>
      </c>
      <c r="T47" s="220">
        <v>45931</v>
      </c>
      <c r="U47" s="221" t="s">
        <v>198</v>
      </c>
      <c r="V47" s="222">
        <v>16</v>
      </c>
      <c r="W47" s="223" t="s">
        <v>241</v>
      </c>
      <c r="X47" s="229" t="e">
        <f>IF(Planejamento2025[[#This Row],[Fonte Pagadora]]="Anna de Moura",(W47*H47*24),"-")</f>
        <v>#VALUE!</v>
      </c>
      <c r="Y47" s="224"/>
      <c r="Z47" s="224"/>
      <c r="AA47" s="294"/>
      <c r="AB47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7" s="221" t="s">
        <v>15</v>
      </c>
      <c r="AD47" s="221" t="s">
        <v>15</v>
      </c>
    </row>
    <row r="48" spans="1:30" s="226" customFormat="1" ht="30" customHeight="1" x14ac:dyDescent="0.25">
      <c r="A48" s="216"/>
      <c r="B48" s="228" t="s">
        <v>245</v>
      </c>
      <c r="C48" s="217" t="s">
        <v>137</v>
      </c>
      <c r="D48" s="217" t="s">
        <v>230</v>
      </c>
      <c r="E48" s="216"/>
      <c r="F48" s="216" t="s">
        <v>82</v>
      </c>
      <c r="G48" s="216" t="s">
        <v>246</v>
      </c>
      <c r="H48" s="218">
        <v>6.666666666666667</v>
      </c>
      <c r="I48" s="218" t="s">
        <v>100</v>
      </c>
      <c r="J48" s="218" t="s">
        <v>100</v>
      </c>
      <c r="K48" s="218" t="s">
        <v>100</v>
      </c>
      <c r="L48" s="218" t="s">
        <v>100</v>
      </c>
      <c r="M48" s="218" t="s">
        <v>100</v>
      </c>
      <c r="N48" s="218" t="str">
        <f>IF(I48="X","0","1")&amp;IF(J48="X","0","1")&amp;IF(K48="X","0","1")&amp;IF(L48="X","0","1")&amp;IF(M48="X","0","1")&amp;"11"</f>
        <v>0000011</v>
      </c>
      <c r="O48" s="218">
        <v>0.58333333333333337</v>
      </c>
      <c r="P48" s="218">
        <v>0.70833333333333337</v>
      </c>
      <c r="Q48" s="218">
        <f>Planejamento2025[[#This Row],[Saída]]-Planejamento2025[[#This Row],[Entrada]]</f>
        <v>0.16666666666666674</v>
      </c>
      <c r="R48" s="219">
        <f>Planejamento2025[[#This Row],[Carga Horária]]/Q48</f>
        <v>14.999999999999993</v>
      </c>
      <c r="S48" s="220">
        <v>45936</v>
      </c>
      <c r="T48" s="220">
        <v>46010</v>
      </c>
      <c r="U48" s="221" t="s">
        <v>199</v>
      </c>
      <c r="V48" s="222">
        <v>16</v>
      </c>
      <c r="W48" s="223" t="s">
        <v>241</v>
      </c>
      <c r="X48" s="229" t="str">
        <f>IF(Planejamento2025[[#This Row],[Fonte Pagadora]]="Anna de Moura",(W48*H48*24),"-")</f>
        <v>-</v>
      </c>
      <c r="Y48" s="224"/>
      <c r="Z48" s="224"/>
      <c r="AA48" s="294"/>
      <c r="AB48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8" s="221" t="s">
        <v>15</v>
      </c>
      <c r="AD48" s="221" t="s">
        <v>15</v>
      </c>
    </row>
  </sheetData>
  <mergeCells count="1">
    <mergeCell ref="A1:AB1"/>
  </mergeCells>
  <phoneticPr fontId="23" type="noConversion"/>
  <conditionalFormatting sqref="AB44:AB48">
    <cfRule type="cellIs" dxfId="129" priority="1" operator="equal">
      <formula>"Cancelado"</formula>
    </cfRule>
    <cfRule type="cellIs" dxfId="128" priority="2" operator="equal">
      <formula>"Aguardando"</formula>
    </cfRule>
    <cfRule type="cellIs" dxfId="127" priority="3" operator="equal">
      <formula>"Finalizado"</formula>
    </cfRule>
    <cfRule type="cellIs" dxfId="126" priority="4" operator="equal">
      <formula>"Em andamento"</formula>
    </cfRule>
  </conditionalFormatting>
  <printOptions horizontalCentered="1"/>
  <pageMargins left="0.15748031496062992" right="0.11811023622047245" top="0.54" bottom="0.35433070866141736" header="0.15748031496062992" footer="0.11811023622047245"/>
  <pageSetup paperSize="9" scale="54" fitToHeight="0" orientation="landscape" r:id="rId1"/>
  <headerFooter scaleWithDoc="0" alignWithMargins="0">
    <oddHeader>&amp;C&amp;"-,Negrito"Instituto Anna de Moura - Fundação
CNPJ 44.297.075/0001-51</oddHead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45B02-CAB0-4709-AEFE-75711AA3D295}">
  <sheetPr codeName="Planilha4"/>
  <dimension ref="B1:S68"/>
  <sheetViews>
    <sheetView showGridLines="0" topLeftCell="A19" workbookViewId="0">
      <selection activeCell="K23" sqref="K23"/>
    </sheetView>
  </sheetViews>
  <sheetFormatPr defaultRowHeight="15" x14ac:dyDescent="0.25"/>
  <cols>
    <col min="1" max="1" width="2.7109375" customWidth="1"/>
    <col min="2" max="8" width="6.7109375" customWidth="1"/>
    <col min="9" max="9" width="4.7109375" customWidth="1"/>
    <col min="10" max="16" width="6.7109375" customWidth="1"/>
    <col min="17" max="17" width="2.7109375" customWidth="1"/>
    <col min="19" max="19" width="24.42578125" bestFit="1" customWidth="1"/>
    <col min="21" max="21" width="13.5703125" customWidth="1"/>
    <col min="22" max="22" width="4.42578125" bestFit="1" customWidth="1"/>
    <col min="23" max="23" width="3.85546875" bestFit="1" customWidth="1"/>
    <col min="24" max="24" width="4.28515625" bestFit="1" customWidth="1"/>
    <col min="25" max="25" width="3.85546875" bestFit="1" customWidth="1"/>
    <col min="26" max="26" width="3.28515625" bestFit="1" customWidth="1"/>
    <col min="27" max="27" width="3.7109375" bestFit="1" customWidth="1"/>
    <col min="28" max="28" width="4" bestFit="1" customWidth="1"/>
    <col min="29" max="29" width="4.28515625" bestFit="1" customWidth="1"/>
    <col min="30" max="30" width="4.140625" bestFit="1" customWidth="1"/>
    <col min="31" max="31" width="10.7109375" bestFit="1" customWidth="1"/>
  </cols>
  <sheetData>
    <row r="1" spans="2:19" ht="19.5" x14ac:dyDescent="0.3">
      <c r="B1" s="55" t="s">
        <v>101</v>
      </c>
      <c r="P1" s="56" t="s">
        <v>102</v>
      </c>
    </row>
    <row r="2" spans="2:19" x14ac:dyDescent="0.25">
      <c r="B2" s="57" t="s">
        <v>103</v>
      </c>
    </row>
    <row r="3" spans="2:19" ht="18.75" x14ac:dyDescent="0.3">
      <c r="B3" s="58"/>
      <c r="C3" s="59"/>
      <c r="D3" s="437" t="s">
        <v>104</v>
      </c>
      <c r="E3" s="438"/>
      <c r="F3" s="438"/>
      <c r="G3" s="59"/>
      <c r="H3" s="60"/>
      <c r="J3" s="61"/>
      <c r="K3" s="62"/>
      <c r="L3" s="435" t="s">
        <v>105</v>
      </c>
      <c r="M3" s="436"/>
      <c r="N3" s="436"/>
      <c r="O3" s="62"/>
      <c r="P3" s="63"/>
      <c r="R3" s="64" t="s">
        <v>106</v>
      </c>
      <c r="S3" s="65" t="s">
        <v>107</v>
      </c>
    </row>
    <row r="4" spans="2:19" x14ac:dyDescent="0.25">
      <c r="B4" s="66" t="s">
        <v>108</v>
      </c>
      <c r="C4" s="67" t="s">
        <v>16</v>
      </c>
      <c r="D4" s="67" t="s">
        <v>17</v>
      </c>
      <c r="E4" s="67" t="s">
        <v>18</v>
      </c>
      <c r="F4" s="67" t="s">
        <v>19</v>
      </c>
      <c r="G4" s="67" t="s">
        <v>20</v>
      </c>
      <c r="H4" s="68" t="s">
        <v>98</v>
      </c>
      <c r="J4" s="69" t="s">
        <v>108</v>
      </c>
      <c r="K4" s="70" t="s">
        <v>16</v>
      </c>
      <c r="L4" s="70" t="s">
        <v>17</v>
      </c>
      <c r="M4" s="70" t="s">
        <v>18</v>
      </c>
      <c r="N4" s="70" t="s">
        <v>19</v>
      </c>
      <c r="O4" s="70" t="s">
        <v>20</v>
      </c>
      <c r="P4" s="71" t="s">
        <v>98</v>
      </c>
      <c r="R4" s="72">
        <v>45658</v>
      </c>
      <c r="S4" t="s">
        <v>109</v>
      </c>
    </row>
    <row r="5" spans="2:19" x14ac:dyDescent="0.25">
      <c r="B5" s="73"/>
      <c r="C5" s="74"/>
      <c r="D5" s="75"/>
      <c r="E5" s="76">
        <v>45658</v>
      </c>
      <c r="F5" s="77">
        <v>45659</v>
      </c>
      <c r="G5" s="77">
        <v>45660</v>
      </c>
      <c r="H5" s="78">
        <v>45661</v>
      </c>
      <c r="J5" s="73"/>
      <c r="K5" s="74"/>
      <c r="L5" s="74"/>
      <c r="M5" s="74"/>
      <c r="N5" s="74"/>
      <c r="O5" s="75"/>
      <c r="P5" s="79">
        <v>45689</v>
      </c>
      <c r="R5" s="72">
        <v>45719</v>
      </c>
      <c r="S5" t="s">
        <v>110</v>
      </c>
    </row>
    <row r="6" spans="2:19" x14ac:dyDescent="0.25">
      <c r="B6" s="80">
        <v>45662</v>
      </c>
      <c r="C6" s="81">
        <v>45663</v>
      </c>
      <c r="D6" s="81">
        <v>45664</v>
      </c>
      <c r="E6" s="81">
        <v>45665</v>
      </c>
      <c r="F6" s="81">
        <v>45666</v>
      </c>
      <c r="G6" s="81">
        <v>45667</v>
      </c>
      <c r="H6" s="82">
        <v>45668</v>
      </c>
      <c r="J6" s="83">
        <v>45690</v>
      </c>
      <c r="K6" s="84">
        <v>45691</v>
      </c>
      <c r="L6" s="84">
        <v>45692</v>
      </c>
      <c r="M6" s="84">
        <v>45693</v>
      </c>
      <c r="N6" s="84">
        <v>45694</v>
      </c>
      <c r="O6" s="84">
        <v>45695</v>
      </c>
      <c r="P6" s="85">
        <v>45696</v>
      </c>
      <c r="R6" s="72">
        <v>45720</v>
      </c>
      <c r="S6" t="s">
        <v>111</v>
      </c>
    </row>
    <row r="7" spans="2:19" x14ac:dyDescent="0.25">
      <c r="B7" s="86">
        <v>45669</v>
      </c>
      <c r="C7" s="87">
        <v>45670</v>
      </c>
      <c r="D7" s="87">
        <v>45671</v>
      </c>
      <c r="E7" s="87">
        <v>45672</v>
      </c>
      <c r="F7" s="87">
        <v>45673</v>
      </c>
      <c r="G7" s="87">
        <v>45674</v>
      </c>
      <c r="H7" s="88">
        <v>45675</v>
      </c>
      <c r="J7" s="89">
        <v>45697</v>
      </c>
      <c r="K7" s="90">
        <v>45698</v>
      </c>
      <c r="L7" s="90">
        <v>45699</v>
      </c>
      <c r="M7" s="90">
        <v>45700</v>
      </c>
      <c r="N7" s="90">
        <v>45701</v>
      </c>
      <c r="O7" s="90">
        <v>45702</v>
      </c>
      <c r="P7" s="91">
        <v>45703</v>
      </c>
      <c r="R7" s="72">
        <v>45764</v>
      </c>
      <c r="S7" t="s">
        <v>207</v>
      </c>
    </row>
    <row r="8" spans="2:19" x14ac:dyDescent="0.25">
      <c r="B8" s="92">
        <v>45676</v>
      </c>
      <c r="C8" s="93">
        <v>45677</v>
      </c>
      <c r="D8" s="93">
        <v>45678</v>
      </c>
      <c r="E8" s="93">
        <v>45679</v>
      </c>
      <c r="F8" s="93">
        <v>45680</v>
      </c>
      <c r="G8" s="93">
        <v>45681</v>
      </c>
      <c r="H8" s="94">
        <v>45682</v>
      </c>
      <c r="J8" s="95">
        <v>45704</v>
      </c>
      <c r="K8" s="96">
        <v>45705</v>
      </c>
      <c r="L8" s="96">
        <v>45706</v>
      </c>
      <c r="M8" s="96">
        <v>45707</v>
      </c>
      <c r="N8" s="96">
        <v>45708</v>
      </c>
      <c r="O8" s="96">
        <v>45709</v>
      </c>
      <c r="P8" s="97">
        <v>45710</v>
      </c>
      <c r="R8" s="72">
        <v>45765</v>
      </c>
      <c r="S8" t="s">
        <v>112</v>
      </c>
    </row>
    <row r="9" spans="2:19" x14ac:dyDescent="0.25">
      <c r="B9" s="98">
        <v>45683</v>
      </c>
      <c r="C9" s="99">
        <v>45684</v>
      </c>
      <c r="D9" s="99">
        <v>45685</v>
      </c>
      <c r="E9" s="99">
        <v>45686</v>
      </c>
      <c r="F9" s="99">
        <v>45687</v>
      </c>
      <c r="G9" s="100">
        <v>45688</v>
      </c>
      <c r="H9" s="101"/>
      <c r="J9" s="102">
        <v>45711</v>
      </c>
      <c r="K9" s="103">
        <v>45712</v>
      </c>
      <c r="L9" s="103">
        <v>45713</v>
      </c>
      <c r="M9" s="103">
        <v>45714</v>
      </c>
      <c r="N9" s="103">
        <v>45715</v>
      </c>
      <c r="O9" s="104">
        <v>45716</v>
      </c>
      <c r="P9" s="101"/>
      <c r="R9" s="72">
        <v>45768</v>
      </c>
      <c r="S9" t="s">
        <v>113</v>
      </c>
    </row>
    <row r="10" spans="2:19" x14ac:dyDescent="0.25">
      <c r="B10" s="105"/>
      <c r="C10" s="105"/>
      <c r="D10" s="105"/>
      <c r="E10" s="105"/>
      <c r="F10" s="105"/>
      <c r="G10" s="105"/>
      <c r="H10" s="105"/>
      <c r="J10" s="106"/>
      <c r="K10" s="106"/>
      <c r="L10" s="106"/>
      <c r="M10" s="106"/>
      <c r="N10" s="106"/>
      <c r="O10" s="106"/>
      <c r="P10" s="106"/>
      <c r="R10" s="72">
        <v>45778</v>
      </c>
      <c r="S10" t="s">
        <v>114</v>
      </c>
    </row>
    <row r="11" spans="2:19" ht="18" x14ac:dyDescent="0.25">
      <c r="B11" s="61"/>
      <c r="C11" s="62"/>
      <c r="D11" s="435" t="s">
        <v>116</v>
      </c>
      <c r="E11" s="436"/>
      <c r="F11" s="436"/>
      <c r="G11" s="62"/>
      <c r="H11" s="63"/>
      <c r="J11" s="61"/>
      <c r="K11" s="62"/>
      <c r="L11" s="435" t="s">
        <v>117</v>
      </c>
      <c r="M11" s="436"/>
      <c r="N11" s="436"/>
      <c r="O11" s="62"/>
      <c r="P11" s="63"/>
      <c r="R11" s="72">
        <v>45827</v>
      </c>
      <c r="S11" t="s">
        <v>115</v>
      </c>
    </row>
    <row r="12" spans="2:19" x14ac:dyDescent="0.25">
      <c r="B12" s="69" t="s">
        <v>108</v>
      </c>
      <c r="C12" s="70" t="s">
        <v>16</v>
      </c>
      <c r="D12" s="70" t="s">
        <v>17</v>
      </c>
      <c r="E12" s="70" t="s">
        <v>18</v>
      </c>
      <c r="F12" s="70" t="s">
        <v>19</v>
      </c>
      <c r="G12" s="70" t="s">
        <v>20</v>
      </c>
      <c r="H12" s="71" t="s">
        <v>98</v>
      </c>
      <c r="J12" s="69" t="s">
        <v>108</v>
      </c>
      <c r="K12" s="70" t="s">
        <v>16</v>
      </c>
      <c r="L12" s="70" t="s">
        <v>17</v>
      </c>
      <c r="M12" s="70" t="s">
        <v>18</v>
      </c>
      <c r="N12" s="70" t="s">
        <v>19</v>
      </c>
      <c r="O12" s="70" t="s">
        <v>20</v>
      </c>
      <c r="P12" s="71" t="s">
        <v>98</v>
      </c>
      <c r="R12" s="72">
        <v>45839</v>
      </c>
      <c r="S12" t="s">
        <v>183</v>
      </c>
    </row>
    <row r="13" spans="2:19" x14ac:dyDescent="0.25">
      <c r="B13" s="73"/>
      <c r="C13" s="74"/>
      <c r="D13" s="74"/>
      <c r="E13" s="74"/>
      <c r="F13" s="74"/>
      <c r="G13" s="75"/>
      <c r="H13" s="79">
        <v>45717</v>
      </c>
      <c r="J13" s="73"/>
      <c r="K13" s="75"/>
      <c r="L13" s="107">
        <v>45748</v>
      </c>
      <c r="M13" s="108">
        <v>45749</v>
      </c>
      <c r="N13" s="108">
        <v>45750</v>
      </c>
      <c r="O13" s="108">
        <v>45751</v>
      </c>
      <c r="P13" s="109">
        <v>45752</v>
      </c>
      <c r="R13" s="72">
        <v>45840</v>
      </c>
      <c r="S13" t="s">
        <v>183</v>
      </c>
    </row>
    <row r="14" spans="2:19" x14ac:dyDescent="0.25">
      <c r="B14" s="83">
        <v>45718</v>
      </c>
      <c r="C14" s="110">
        <v>45719</v>
      </c>
      <c r="D14" s="110">
        <v>45720</v>
      </c>
      <c r="E14" s="84">
        <v>45721</v>
      </c>
      <c r="F14" s="84">
        <v>45722</v>
      </c>
      <c r="G14" s="84">
        <v>45723</v>
      </c>
      <c r="H14" s="85">
        <v>45724</v>
      </c>
      <c r="J14" s="83">
        <v>45753</v>
      </c>
      <c r="K14" s="84">
        <v>45754</v>
      </c>
      <c r="L14" s="84">
        <v>45755</v>
      </c>
      <c r="M14" s="84">
        <v>45756</v>
      </c>
      <c r="N14" s="84">
        <v>45757</v>
      </c>
      <c r="O14" s="84">
        <v>45758</v>
      </c>
      <c r="P14" s="85">
        <v>45759</v>
      </c>
      <c r="R14" s="72">
        <v>45841</v>
      </c>
      <c r="S14" t="s">
        <v>183</v>
      </c>
    </row>
    <row r="15" spans="2:19" x14ac:dyDescent="0.25">
      <c r="B15" s="89">
        <v>45725</v>
      </c>
      <c r="C15" s="90">
        <v>45726</v>
      </c>
      <c r="D15" s="90">
        <v>45727</v>
      </c>
      <c r="E15" s="90">
        <v>45728</v>
      </c>
      <c r="F15" s="90">
        <v>45729</v>
      </c>
      <c r="G15" s="90">
        <v>45730</v>
      </c>
      <c r="H15" s="91">
        <v>45731</v>
      </c>
      <c r="J15" s="89">
        <v>45760</v>
      </c>
      <c r="K15" s="90">
        <v>45761</v>
      </c>
      <c r="L15" s="90">
        <v>45762</v>
      </c>
      <c r="M15" s="90">
        <v>45763</v>
      </c>
      <c r="N15" s="90">
        <v>45764</v>
      </c>
      <c r="O15" s="111">
        <v>45765</v>
      </c>
      <c r="P15" s="91">
        <v>45766</v>
      </c>
      <c r="R15" s="72">
        <v>45842</v>
      </c>
      <c r="S15" t="s">
        <v>183</v>
      </c>
    </row>
    <row r="16" spans="2:19" x14ac:dyDescent="0.25">
      <c r="B16" s="89">
        <v>45732</v>
      </c>
      <c r="C16" s="90">
        <v>45733</v>
      </c>
      <c r="D16" s="90">
        <v>45734</v>
      </c>
      <c r="E16" s="90">
        <v>45735</v>
      </c>
      <c r="F16" s="90">
        <v>45736</v>
      </c>
      <c r="G16" s="90">
        <v>45737</v>
      </c>
      <c r="H16" s="91">
        <v>45738</v>
      </c>
      <c r="J16" s="95">
        <v>45767</v>
      </c>
      <c r="K16" s="112">
        <v>45768</v>
      </c>
      <c r="L16" s="96">
        <v>45769</v>
      </c>
      <c r="M16" s="96">
        <v>45770</v>
      </c>
      <c r="N16" s="96">
        <v>45771</v>
      </c>
      <c r="O16" s="96">
        <v>45772</v>
      </c>
      <c r="P16" s="97">
        <v>45773</v>
      </c>
      <c r="R16" s="72">
        <v>45843</v>
      </c>
      <c r="S16" t="s">
        <v>183</v>
      </c>
    </row>
    <row r="17" spans="2:19" x14ac:dyDescent="0.25">
      <c r="B17" s="95">
        <v>45739</v>
      </c>
      <c r="C17" s="96">
        <v>45740</v>
      </c>
      <c r="D17" s="96">
        <v>45741</v>
      </c>
      <c r="E17" s="96">
        <v>45742</v>
      </c>
      <c r="F17" s="96">
        <v>45743</v>
      </c>
      <c r="G17" s="96">
        <v>45744</v>
      </c>
      <c r="H17" s="97">
        <v>45745</v>
      </c>
      <c r="J17" s="102">
        <v>45774</v>
      </c>
      <c r="K17" s="103">
        <v>45775</v>
      </c>
      <c r="L17" s="103">
        <v>45776</v>
      </c>
      <c r="M17" s="104">
        <v>45777</v>
      </c>
      <c r="N17" s="113"/>
      <c r="O17" s="114"/>
      <c r="P17" s="115"/>
      <c r="R17" s="72">
        <v>45844</v>
      </c>
      <c r="S17" t="s">
        <v>183</v>
      </c>
    </row>
    <row r="18" spans="2:19" x14ac:dyDescent="0.25">
      <c r="B18" s="102">
        <v>45746</v>
      </c>
      <c r="C18" s="104">
        <v>45747</v>
      </c>
      <c r="D18" s="113"/>
      <c r="E18" s="114"/>
      <c r="F18" s="114"/>
      <c r="G18" s="114"/>
      <c r="H18" s="115"/>
      <c r="J18" s="106"/>
      <c r="K18" s="106"/>
      <c r="L18" s="106"/>
      <c r="M18" s="106"/>
      <c r="N18" s="106"/>
      <c r="O18" s="106"/>
      <c r="P18" s="106"/>
      <c r="R18" s="72">
        <v>45845</v>
      </c>
      <c r="S18" t="s">
        <v>183</v>
      </c>
    </row>
    <row r="19" spans="2:19" x14ac:dyDescent="0.25">
      <c r="B19" s="106"/>
      <c r="C19" s="106"/>
      <c r="D19" s="106"/>
      <c r="E19" s="106"/>
      <c r="F19" s="106"/>
      <c r="G19" s="106"/>
      <c r="H19" s="106"/>
      <c r="R19" s="72">
        <v>45846</v>
      </c>
      <c r="S19" t="s">
        <v>183</v>
      </c>
    </row>
    <row r="20" spans="2:19" ht="18" x14ac:dyDescent="0.25">
      <c r="B20" s="61"/>
      <c r="C20" s="62"/>
      <c r="D20" s="435" t="s">
        <v>127</v>
      </c>
      <c r="E20" s="436"/>
      <c r="F20" s="436"/>
      <c r="G20" s="62"/>
      <c r="H20" s="63"/>
      <c r="J20" s="61"/>
      <c r="K20" s="62"/>
      <c r="L20" s="435" t="s">
        <v>128</v>
      </c>
      <c r="M20" s="436"/>
      <c r="N20" s="436"/>
      <c r="O20" s="62"/>
      <c r="P20" s="63"/>
      <c r="R20" s="72">
        <v>45847</v>
      </c>
      <c r="S20" t="s">
        <v>118</v>
      </c>
    </row>
    <row r="21" spans="2:19" x14ac:dyDescent="0.25">
      <c r="B21" s="69" t="s">
        <v>108</v>
      </c>
      <c r="C21" s="70" t="s">
        <v>16</v>
      </c>
      <c r="D21" s="70" t="s">
        <v>17</v>
      </c>
      <c r="E21" s="70" t="s">
        <v>18</v>
      </c>
      <c r="F21" s="70" t="s">
        <v>19</v>
      </c>
      <c r="G21" s="70" t="s">
        <v>20</v>
      </c>
      <c r="H21" s="71" t="s">
        <v>98</v>
      </c>
      <c r="J21" s="69" t="s">
        <v>108</v>
      </c>
      <c r="K21" s="70" t="s">
        <v>16</v>
      </c>
      <c r="L21" s="70" t="s">
        <v>17</v>
      </c>
      <c r="M21" s="70" t="s">
        <v>18</v>
      </c>
      <c r="N21" s="70" t="s">
        <v>19</v>
      </c>
      <c r="O21" s="70" t="s">
        <v>20</v>
      </c>
      <c r="P21" s="71" t="s">
        <v>98</v>
      </c>
      <c r="R21" s="72">
        <v>45848</v>
      </c>
      <c r="S21" t="s">
        <v>183</v>
      </c>
    </row>
    <row r="22" spans="2:19" x14ac:dyDescent="0.25">
      <c r="B22" s="73"/>
      <c r="C22" s="74"/>
      <c r="D22" s="74"/>
      <c r="E22" s="75"/>
      <c r="F22" s="118">
        <v>45778</v>
      </c>
      <c r="G22" s="108">
        <v>45779</v>
      </c>
      <c r="H22" s="109">
        <v>45780</v>
      </c>
      <c r="J22" s="119">
        <v>45809</v>
      </c>
      <c r="K22" s="108">
        <v>45810</v>
      </c>
      <c r="L22" s="108">
        <v>45811</v>
      </c>
      <c r="M22" s="108">
        <v>45812</v>
      </c>
      <c r="N22" s="108">
        <v>45813</v>
      </c>
      <c r="O22" s="108">
        <v>45814</v>
      </c>
      <c r="P22" s="109">
        <v>45815</v>
      </c>
      <c r="R22" s="72">
        <v>45849</v>
      </c>
      <c r="S22" t="s">
        <v>183</v>
      </c>
    </row>
    <row r="23" spans="2:19" x14ac:dyDescent="0.25">
      <c r="B23" s="83">
        <v>45781</v>
      </c>
      <c r="C23" s="84">
        <v>45782</v>
      </c>
      <c r="D23" s="84">
        <v>45783</v>
      </c>
      <c r="E23" s="84">
        <v>45784</v>
      </c>
      <c r="F23" s="84">
        <v>45785</v>
      </c>
      <c r="G23" s="84">
        <v>45786</v>
      </c>
      <c r="H23" s="85">
        <v>45787</v>
      </c>
      <c r="J23" s="83">
        <v>45816</v>
      </c>
      <c r="K23" s="84">
        <v>45817</v>
      </c>
      <c r="L23" s="84">
        <v>45818</v>
      </c>
      <c r="M23" s="84">
        <v>45819</v>
      </c>
      <c r="N23" s="84">
        <v>45820</v>
      </c>
      <c r="O23" s="84">
        <v>45821</v>
      </c>
      <c r="P23" s="85">
        <v>45822</v>
      </c>
      <c r="R23" s="72">
        <v>45850</v>
      </c>
      <c r="S23" t="s">
        <v>183</v>
      </c>
    </row>
    <row r="24" spans="2:19" x14ac:dyDescent="0.25">
      <c r="B24" s="89">
        <v>45788</v>
      </c>
      <c r="C24" s="90">
        <v>45789</v>
      </c>
      <c r="D24" s="90">
        <v>45790</v>
      </c>
      <c r="E24" s="90">
        <v>45791</v>
      </c>
      <c r="F24" s="90">
        <v>45792</v>
      </c>
      <c r="G24" s="90">
        <v>45793</v>
      </c>
      <c r="H24" s="91">
        <v>45794</v>
      </c>
      <c r="J24" s="89">
        <v>45823</v>
      </c>
      <c r="K24" s="90">
        <v>45824</v>
      </c>
      <c r="L24" s="90">
        <v>45825</v>
      </c>
      <c r="M24" s="90">
        <v>45826</v>
      </c>
      <c r="N24" s="111">
        <v>45827</v>
      </c>
      <c r="O24" s="90">
        <v>45828</v>
      </c>
      <c r="P24" s="91">
        <v>45829</v>
      </c>
      <c r="R24" s="72">
        <v>45851</v>
      </c>
      <c r="S24" t="s">
        <v>183</v>
      </c>
    </row>
    <row r="25" spans="2:19" x14ac:dyDescent="0.25">
      <c r="B25" s="95">
        <v>45795</v>
      </c>
      <c r="C25" s="96">
        <v>45796</v>
      </c>
      <c r="D25" s="96">
        <v>45797</v>
      </c>
      <c r="E25" s="96">
        <v>45798</v>
      </c>
      <c r="F25" s="96">
        <v>45799</v>
      </c>
      <c r="G25" s="96">
        <v>45800</v>
      </c>
      <c r="H25" s="97">
        <v>45801</v>
      </c>
      <c r="J25" s="95">
        <v>45830</v>
      </c>
      <c r="K25" s="96">
        <v>45831</v>
      </c>
      <c r="L25" s="96">
        <v>45832</v>
      </c>
      <c r="M25" s="96">
        <v>45833</v>
      </c>
      <c r="N25" s="96">
        <v>45834</v>
      </c>
      <c r="O25" s="96">
        <v>45835</v>
      </c>
      <c r="P25" s="97">
        <v>45836</v>
      </c>
      <c r="R25" s="72">
        <v>45852</v>
      </c>
      <c r="S25" t="s">
        <v>183</v>
      </c>
    </row>
    <row r="26" spans="2:19" x14ac:dyDescent="0.25">
      <c r="B26" s="102">
        <v>45802</v>
      </c>
      <c r="C26" s="103">
        <v>45803</v>
      </c>
      <c r="D26" s="103">
        <v>45804</v>
      </c>
      <c r="E26" s="103">
        <v>45805</v>
      </c>
      <c r="F26" s="103">
        <v>45806</v>
      </c>
      <c r="G26" s="103">
        <v>45807</v>
      </c>
      <c r="H26" s="120">
        <v>45808</v>
      </c>
      <c r="J26" s="102">
        <v>45837</v>
      </c>
      <c r="K26" s="104">
        <v>45838</v>
      </c>
      <c r="L26" s="113"/>
      <c r="M26" s="114"/>
      <c r="N26" s="114"/>
      <c r="O26" s="114"/>
      <c r="P26" s="115"/>
      <c r="R26" s="72">
        <v>45853</v>
      </c>
      <c r="S26" t="s">
        <v>183</v>
      </c>
    </row>
    <row r="27" spans="2:19" x14ac:dyDescent="0.25">
      <c r="B27" s="106"/>
      <c r="C27" s="106"/>
      <c r="D27" s="106"/>
      <c r="E27" s="106"/>
      <c r="F27" s="106"/>
      <c r="G27" s="106"/>
      <c r="H27" s="106"/>
      <c r="J27" s="106"/>
      <c r="K27" s="106"/>
      <c r="L27" s="106"/>
      <c r="M27" s="106"/>
      <c r="N27" s="106"/>
      <c r="O27" s="106"/>
      <c r="P27" s="106"/>
      <c r="R27" s="72">
        <v>45864</v>
      </c>
      <c r="S27" t="s">
        <v>119</v>
      </c>
    </row>
    <row r="28" spans="2:19" ht="18" x14ac:dyDescent="0.25">
      <c r="B28" s="61"/>
      <c r="C28" s="62"/>
      <c r="D28" s="435" t="s">
        <v>129</v>
      </c>
      <c r="E28" s="436"/>
      <c r="F28" s="436"/>
      <c r="G28" s="62"/>
      <c r="H28" s="63"/>
      <c r="J28" s="61"/>
      <c r="K28" s="62"/>
      <c r="L28" s="435" t="s">
        <v>130</v>
      </c>
      <c r="M28" s="436"/>
      <c r="N28" s="436"/>
      <c r="O28" s="62"/>
      <c r="P28" s="63"/>
      <c r="R28" s="72">
        <v>45901</v>
      </c>
      <c r="S28" t="s">
        <v>120</v>
      </c>
    </row>
    <row r="29" spans="2:19" x14ac:dyDescent="0.25">
      <c r="B29" s="69" t="s">
        <v>108</v>
      </c>
      <c r="C29" s="70" t="s">
        <v>16</v>
      </c>
      <c r="D29" s="70" t="s">
        <v>17</v>
      </c>
      <c r="E29" s="70" t="s">
        <v>18</v>
      </c>
      <c r="F29" s="70" t="s">
        <v>19</v>
      </c>
      <c r="G29" s="70" t="s">
        <v>20</v>
      </c>
      <c r="H29" s="71" t="s">
        <v>98</v>
      </c>
      <c r="J29" s="69" t="s">
        <v>108</v>
      </c>
      <c r="K29" s="70" t="s">
        <v>16</v>
      </c>
      <c r="L29" s="70" t="s">
        <v>17</v>
      </c>
      <c r="M29" s="70" t="s">
        <v>18</v>
      </c>
      <c r="N29" s="70" t="s">
        <v>19</v>
      </c>
      <c r="O29" s="70" t="s">
        <v>20</v>
      </c>
      <c r="P29" s="71" t="s">
        <v>98</v>
      </c>
      <c r="R29" s="72">
        <v>45907</v>
      </c>
      <c r="S29" t="s">
        <v>121</v>
      </c>
    </row>
    <row r="30" spans="2:19" x14ac:dyDescent="0.25">
      <c r="B30" s="73"/>
      <c r="C30" s="75"/>
      <c r="D30" s="107">
        <v>45839</v>
      </c>
      <c r="E30" s="108">
        <v>45840</v>
      </c>
      <c r="F30" s="108">
        <v>45841</v>
      </c>
      <c r="G30" s="108">
        <v>45842</v>
      </c>
      <c r="H30" s="109">
        <v>45843</v>
      </c>
      <c r="J30" s="73"/>
      <c r="K30" s="74"/>
      <c r="L30" s="74"/>
      <c r="M30" s="74"/>
      <c r="N30" s="75"/>
      <c r="O30" s="107">
        <v>45870</v>
      </c>
      <c r="P30" s="109">
        <v>45871</v>
      </c>
      <c r="R30" s="72">
        <v>45942</v>
      </c>
      <c r="S30" t="s">
        <v>122</v>
      </c>
    </row>
    <row r="31" spans="2:19" x14ac:dyDescent="0.25">
      <c r="B31" s="83">
        <v>45844</v>
      </c>
      <c r="C31" s="84">
        <v>45845</v>
      </c>
      <c r="D31" s="84">
        <v>45846</v>
      </c>
      <c r="E31" s="118">
        <v>45847</v>
      </c>
      <c r="F31" s="84">
        <v>45848</v>
      </c>
      <c r="G31" s="84">
        <v>45849</v>
      </c>
      <c r="H31" s="85">
        <v>45850</v>
      </c>
      <c r="J31" s="83">
        <v>45872</v>
      </c>
      <c r="K31" s="84">
        <v>45873</v>
      </c>
      <c r="L31" s="84">
        <v>45874</v>
      </c>
      <c r="M31" s="84">
        <v>45875</v>
      </c>
      <c r="N31" s="84">
        <v>45876</v>
      </c>
      <c r="O31" s="84">
        <v>45877</v>
      </c>
      <c r="P31" s="85">
        <v>45878</v>
      </c>
      <c r="R31" s="72">
        <v>45945</v>
      </c>
      <c r="S31" t="s">
        <v>196</v>
      </c>
    </row>
    <row r="32" spans="2:19" x14ac:dyDescent="0.25">
      <c r="B32" s="89">
        <v>45851</v>
      </c>
      <c r="C32" s="90">
        <v>45852</v>
      </c>
      <c r="D32" s="90">
        <v>45853</v>
      </c>
      <c r="E32" s="90">
        <v>45854</v>
      </c>
      <c r="F32" s="90">
        <v>45855</v>
      </c>
      <c r="G32" s="90">
        <v>45856</v>
      </c>
      <c r="H32" s="91">
        <v>45857</v>
      </c>
      <c r="J32" s="89">
        <v>45879</v>
      </c>
      <c r="K32" s="90">
        <v>45880</v>
      </c>
      <c r="L32" s="90">
        <v>45881</v>
      </c>
      <c r="M32" s="90">
        <v>45882</v>
      </c>
      <c r="N32" s="90">
        <v>45883</v>
      </c>
      <c r="O32" s="90">
        <v>45884</v>
      </c>
      <c r="P32" s="91">
        <v>45885</v>
      </c>
      <c r="R32" s="72">
        <v>45963</v>
      </c>
      <c r="S32" t="s">
        <v>123</v>
      </c>
    </row>
    <row r="33" spans="2:19" x14ac:dyDescent="0.25">
      <c r="B33" s="95">
        <v>45858</v>
      </c>
      <c r="C33" s="96">
        <v>45859</v>
      </c>
      <c r="D33" s="96">
        <v>45860</v>
      </c>
      <c r="E33" s="96">
        <v>45861</v>
      </c>
      <c r="F33" s="96">
        <v>45862</v>
      </c>
      <c r="G33" s="96">
        <v>45863</v>
      </c>
      <c r="H33" s="118">
        <v>45864</v>
      </c>
      <c r="J33" s="89">
        <v>45886</v>
      </c>
      <c r="K33" s="90">
        <v>45887</v>
      </c>
      <c r="L33" s="90">
        <v>45888</v>
      </c>
      <c r="M33" s="90">
        <v>45889</v>
      </c>
      <c r="N33" s="90">
        <v>45890</v>
      </c>
      <c r="O33" s="90">
        <v>45891</v>
      </c>
      <c r="P33" s="91">
        <v>45892</v>
      </c>
      <c r="R33" s="72">
        <v>45976</v>
      </c>
      <c r="S33" t="s">
        <v>124</v>
      </c>
    </row>
    <row r="34" spans="2:19" x14ac:dyDescent="0.25">
      <c r="B34" s="102">
        <v>45865</v>
      </c>
      <c r="C34" s="103">
        <v>45866</v>
      </c>
      <c r="D34" s="103">
        <v>45867</v>
      </c>
      <c r="E34" s="103">
        <v>45868</v>
      </c>
      <c r="F34" s="104">
        <v>45869</v>
      </c>
      <c r="G34" s="113"/>
      <c r="H34" s="115"/>
      <c r="J34" s="95">
        <v>45893</v>
      </c>
      <c r="K34" s="96">
        <v>45894</v>
      </c>
      <c r="L34" s="96">
        <v>45895</v>
      </c>
      <c r="M34" s="96">
        <v>45896</v>
      </c>
      <c r="N34" s="96">
        <v>45897</v>
      </c>
      <c r="O34" s="96">
        <v>45898</v>
      </c>
      <c r="P34" s="97">
        <v>45899</v>
      </c>
      <c r="R34" s="72">
        <v>45981</v>
      </c>
      <c r="S34" t="s">
        <v>125</v>
      </c>
    </row>
    <row r="35" spans="2:19" x14ac:dyDescent="0.25">
      <c r="B35" s="106"/>
      <c r="C35" s="106"/>
      <c r="D35" s="106"/>
      <c r="E35" s="106"/>
      <c r="F35" s="106"/>
      <c r="G35" s="106"/>
      <c r="H35" s="106"/>
      <c r="J35" s="121">
        <v>45900</v>
      </c>
      <c r="K35" s="113"/>
      <c r="L35" s="114"/>
      <c r="M35" s="114"/>
      <c r="N35" s="114"/>
      <c r="O35" s="114"/>
      <c r="P35" s="115"/>
      <c r="R35" s="72">
        <v>46016</v>
      </c>
      <c r="S35" t="s">
        <v>126</v>
      </c>
    </row>
    <row r="36" spans="2:19" ht="16.5" x14ac:dyDescent="0.3">
      <c r="J36" s="106"/>
      <c r="K36" s="106"/>
      <c r="L36" s="106"/>
      <c r="M36" s="106"/>
      <c r="N36" s="106"/>
      <c r="O36" s="106"/>
      <c r="P36" s="106"/>
      <c r="R36" s="116"/>
      <c r="S36" s="117"/>
    </row>
    <row r="37" spans="2:19" ht="18.75" x14ac:dyDescent="0.3">
      <c r="B37" s="61"/>
      <c r="C37" s="62"/>
      <c r="D37" s="435" t="s">
        <v>131</v>
      </c>
      <c r="E37" s="436"/>
      <c r="F37" s="436"/>
      <c r="G37" s="62"/>
      <c r="H37" s="63"/>
      <c r="J37" s="61"/>
      <c r="K37" s="62"/>
      <c r="L37" s="435" t="s">
        <v>132</v>
      </c>
      <c r="M37" s="436"/>
      <c r="N37" s="436"/>
      <c r="O37" s="62"/>
      <c r="P37" s="63"/>
      <c r="R37" s="116"/>
      <c r="S37" s="117"/>
    </row>
    <row r="38" spans="2:19" ht="16.5" x14ac:dyDescent="0.3">
      <c r="B38" s="69" t="s">
        <v>108</v>
      </c>
      <c r="C38" s="70" t="s">
        <v>16</v>
      </c>
      <c r="D38" s="70" t="s">
        <v>17</v>
      </c>
      <c r="E38" s="70" t="s">
        <v>18</v>
      </c>
      <c r="F38" s="70" t="s">
        <v>19</v>
      </c>
      <c r="G38" s="70" t="s">
        <v>20</v>
      </c>
      <c r="H38" s="71" t="s">
        <v>98</v>
      </c>
      <c r="J38" s="69" t="s">
        <v>108</v>
      </c>
      <c r="K38" s="70" t="s">
        <v>16</v>
      </c>
      <c r="L38" s="70" t="s">
        <v>17</v>
      </c>
      <c r="M38" s="70" t="s">
        <v>18</v>
      </c>
      <c r="N38" s="70" t="s">
        <v>19</v>
      </c>
      <c r="O38" s="70" t="s">
        <v>20</v>
      </c>
      <c r="P38" s="71" t="s">
        <v>98</v>
      </c>
      <c r="R38" s="116"/>
      <c r="S38" s="117"/>
    </row>
    <row r="39" spans="2:19" ht="16.5" x14ac:dyDescent="0.3">
      <c r="B39" s="122"/>
      <c r="C39" s="118">
        <v>45901</v>
      </c>
      <c r="D39" s="108">
        <v>45902</v>
      </c>
      <c r="E39" s="108">
        <v>45903</v>
      </c>
      <c r="F39" s="108">
        <v>45904</v>
      </c>
      <c r="G39" s="108">
        <v>45905</v>
      </c>
      <c r="H39" s="109">
        <v>45906</v>
      </c>
      <c r="J39" s="73"/>
      <c r="K39" s="74"/>
      <c r="L39" s="75"/>
      <c r="M39" s="107">
        <v>45931</v>
      </c>
      <c r="N39" s="108">
        <v>45932</v>
      </c>
      <c r="O39" s="108">
        <v>45933</v>
      </c>
      <c r="P39" s="109">
        <v>45934</v>
      </c>
      <c r="R39" s="116"/>
      <c r="S39" s="117"/>
    </row>
    <row r="40" spans="2:19" ht="16.5" x14ac:dyDescent="0.3">
      <c r="B40" s="123">
        <v>45907</v>
      </c>
      <c r="C40" s="84">
        <v>45908</v>
      </c>
      <c r="D40" s="84">
        <v>45909</v>
      </c>
      <c r="E40" s="84">
        <v>45910</v>
      </c>
      <c r="F40" s="84">
        <v>45911</v>
      </c>
      <c r="G40" s="84">
        <v>45912</v>
      </c>
      <c r="H40" s="85">
        <v>45913</v>
      </c>
      <c r="J40" s="83">
        <v>45935</v>
      </c>
      <c r="K40" s="84">
        <v>45936</v>
      </c>
      <c r="L40" s="84">
        <v>45937</v>
      </c>
      <c r="M40" s="84">
        <v>45938</v>
      </c>
      <c r="N40" s="84">
        <v>45939</v>
      </c>
      <c r="O40" s="84">
        <v>45940</v>
      </c>
      <c r="P40" s="85">
        <v>45941</v>
      </c>
      <c r="R40" s="116"/>
      <c r="S40" s="117"/>
    </row>
    <row r="41" spans="2:19" ht="16.5" x14ac:dyDescent="0.3">
      <c r="B41" s="89">
        <v>45914</v>
      </c>
      <c r="C41" s="90">
        <v>45915</v>
      </c>
      <c r="D41" s="90">
        <v>45916</v>
      </c>
      <c r="E41" s="90">
        <v>45917</v>
      </c>
      <c r="F41" s="90">
        <v>45918</v>
      </c>
      <c r="G41" s="90">
        <v>45919</v>
      </c>
      <c r="H41" s="91">
        <v>45920</v>
      </c>
      <c r="J41" s="124">
        <v>45942</v>
      </c>
      <c r="K41" s="90">
        <v>45943</v>
      </c>
      <c r="L41" s="90">
        <v>45944</v>
      </c>
      <c r="M41" s="124">
        <v>45945</v>
      </c>
      <c r="N41" s="90">
        <v>45946</v>
      </c>
      <c r="O41" s="90">
        <v>45947</v>
      </c>
      <c r="P41" s="91">
        <v>45948</v>
      </c>
      <c r="R41" s="116"/>
      <c r="S41" s="117"/>
    </row>
    <row r="42" spans="2:19" ht="16.5" x14ac:dyDescent="0.3">
      <c r="B42" s="95">
        <v>45921</v>
      </c>
      <c r="C42" s="96">
        <v>45922</v>
      </c>
      <c r="D42" s="96">
        <v>45923</v>
      </c>
      <c r="E42" s="96">
        <v>45924</v>
      </c>
      <c r="F42" s="96">
        <v>45925</v>
      </c>
      <c r="G42" s="96">
        <v>45926</v>
      </c>
      <c r="H42" s="97">
        <v>45927</v>
      </c>
      <c r="J42" s="95">
        <v>45949</v>
      </c>
      <c r="K42" s="96">
        <v>45950</v>
      </c>
      <c r="L42" s="96">
        <v>45951</v>
      </c>
      <c r="M42" s="96">
        <v>45952</v>
      </c>
      <c r="N42" s="96">
        <v>45953</v>
      </c>
      <c r="O42" s="96">
        <v>45954</v>
      </c>
      <c r="P42" s="97">
        <v>45955</v>
      </c>
      <c r="R42" s="116"/>
      <c r="S42" s="117"/>
    </row>
    <row r="43" spans="2:19" ht="16.5" x14ac:dyDescent="0.3">
      <c r="B43" s="102">
        <v>45928</v>
      </c>
      <c r="C43" s="103">
        <v>45929</v>
      </c>
      <c r="D43" s="104">
        <v>45930</v>
      </c>
      <c r="E43" s="113"/>
      <c r="F43" s="114"/>
      <c r="G43" s="114"/>
      <c r="H43" s="115"/>
      <c r="J43" s="102">
        <v>45956</v>
      </c>
      <c r="K43" s="103">
        <v>45957</v>
      </c>
      <c r="L43" s="103">
        <v>45958</v>
      </c>
      <c r="M43" s="103">
        <v>45959</v>
      </c>
      <c r="N43" s="103">
        <v>45960</v>
      </c>
      <c r="O43" s="104">
        <v>45961</v>
      </c>
      <c r="P43" s="101"/>
      <c r="R43" s="116"/>
      <c r="S43" s="117"/>
    </row>
    <row r="44" spans="2:19" ht="16.5" x14ac:dyDescent="0.3">
      <c r="B44" s="106"/>
      <c r="C44" s="106"/>
      <c r="D44" s="106"/>
      <c r="E44" s="106"/>
      <c r="F44" s="106"/>
      <c r="G44" s="106"/>
      <c r="H44" s="106"/>
      <c r="J44" s="106"/>
      <c r="K44" s="106"/>
      <c r="L44" s="106"/>
      <c r="M44" s="106"/>
      <c r="N44" s="106"/>
      <c r="O44" s="106"/>
      <c r="P44" s="106"/>
      <c r="R44" s="116"/>
      <c r="S44" s="117"/>
    </row>
    <row r="45" spans="2:19" ht="18.75" x14ac:dyDescent="0.3">
      <c r="B45" s="61"/>
      <c r="C45" s="62"/>
      <c r="D45" s="435" t="s">
        <v>133</v>
      </c>
      <c r="E45" s="436"/>
      <c r="F45" s="436"/>
      <c r="G45" s="62"/>
      <c r="H45" s="63"/>
      <c r="J45" s="61"/>
      <c r="K45" s="62"/>
      <c r="L45" s="435" t="s">
        <v>134</v>
      </c>
      <c r="M45" s="436"/>
      <c r="N45" s="436"/>
      <c r="O45" s="62"/>
      <c r="P45" s="63"/>
      <c r="R45" s="116"/>
      <c r="S45" s="117"/>
    </row>
    <row r="46" spans="2:19" ht="16.5" x14ac:dyDescent="0.3">
      <c r="B46" s="69" t="s">
        <v>108</v>
      </c>
      <c r="C46" s="70" t="s">
        <v>16</v>
      </c>
      <c r="D46" s="70" t="s">
        <v>17</v>
      </c>
      <c r="E46" s="70" t="s">
        <v>18</v>
      </c>
      <c r="F46" s="70" t="s">
        <v>19</v>
      </c>
      <c r="G46" s="70" t="s">
        <v>20</v>
      </c>
      <c r="H46" s="71" t="s">
        <v>98</v>
      </c>
      <c r="J46" s="69" t="s">
        <v>108</v>
      </c>
      <c r="K46" s="70" t="s">
        <v>16</v>
      </c>
      <c r="L46" s="70" t="s">
        <v>17</v>
      </c>
      <c r="M46" s="70" t="s">
        <v>18</v>
      </c>
      <c r="N46" s="70" t="s">
        <v>19</v>
      </c>
      <c r="O46" s="70" t="s">
        <v>20</v>
      </c>
      <c r="P46" s="71" t="s">
        <v>98</v>
      </c>
      <c r="R46" s="116"/>
      <c r="S46" s="117"/>
    </row>
    <row r="47" spans="2:19" ht="16.5" x14ac:dyDescent="0.3">
      <c r="B47" s="73"/>
      <c r="C47" s="74"/>
      <c r="D47" s="74"/>
      <c r="E47" s="74"/>
      <c r="F47" s="74"/>
      <c r="G47" s="75"/>
      <c r="H47" s="79">
        <v>45962</v>
      </c>
      <c r="J47" s="122"/>
      <c r="K47" s="107">
        <v>45992</v>
      </c>
      <c r="L47" s="108">
        <v>45993</v>
      </c>
      <c r="M47" s="108">
        <v>45994</v>
      </c>
      <c r="N47" s="108">
        <v>45995</v>
      </c>
      <c r="O47" s="108">
        <v>45996</v>
      </c>
      <c r="P47" s="109">
        <v>45997</v>
      </c>
      <c r="R47" s="116"/>
      <c r="S47" s="117"/>
    </row>
    <row r="48" spans="2:19" ht="16.5" x14ac:dyDescent="0.3">
      <c r="B48" s="123">
        <v>45963</v>
      </c>
      <c r="C48" s="84">
        <v>45964</v>
      </c>
      <c r="D48" s="84">
        <v>45965</v>
      </c>
      <c r="E48" s="84">
        <v>45966</v>
      </c>
      <c r="F48" s="84">
        <v>45967</v>
      </c>
      <c r="G48" s="84">
        <v>45968</v>
      </c>
      <c r="H48" s="85">
        <v>45969</v>
      </c>
      <c r="J48" s="83">
        <v>45998</v>
      </c>
      <c r="K48" s="84">
        <v>45999</v>
      </c>
      <c r="L48" s="84">
        <v>46000</v>
      </c>
      <c r="M48" s="84">
        <v>46001</v>
      </c>
      <c r="N48" s="84">
        <v>46002</v>
      </c>
      <c r="O48" s="84">
        <v>46003</v>
      </c>
      <c r="P48" s="85">
        <v>46004</v>
      </c>
      <c r="R48" s="116"/>
      <c r="S48" s="117"/>
    </row>
    <row r="49" spans="2:19" ht="16.5" x14ac:dyDescent="0.3">
      <c r="B49" s="89">
        <v>45970</v>
      </c>
      <c r="C49" s="90">
        <v>45971</v>
      </c>
      <c r="D49" s="90">
        <v>45972</v>
      </c>
      <c r="E49" s="90">
        <v>45973</v>
      </c>
      <c r="F49" s="90">
        <v>45974</v>
      </c>
      <c r="G49" s="90">
        <v>45975</v>
      </c>
      <c r="H49" s="126">
        <v>45976</v>
      </c>
      <c r="J49" s="89">
        <v>46005</v>
      </c>
      <c r="K49" s="90">
        <v>46006</v>
      </c>
      <c r="L49" s="90">
        <v>46007</v>
      </c>
      <c r="M49" s="90">
        <v>46008</v>
      </c>
      <c r="N49" s="90">
        <v>46009</v>
      </c>
      <c r="O49" s="90">
        <v>46010</v>
      </c>
      <c r="P49" s="91">
        <v>46011</v>
      </c>
      <c r="R49" s="116"/>
      <c r="S49" s="117"/>
    </row>
    <row r="50" spans="2:19" ht="16.5" x14ac:dyDescent="0.3">
      <c r="B50" s="89">
        <v>45977</v>
      </c>
      <c r="C50" s="90">
        <v>45978</v>
      </c>
      <c r="D50" s="90">
        <v>45979</v>
      </c>
      <c r="E50" s="90">
        <v>45980</v>
      </c>
      <c r="F50" s="126">
        <v>45981</v>
      </c>
      <c r="G50" s="90">
        <v>45982</v>
      </c>
      <c r="H50" s="91">
        <v>45983</v>
      </c>
      <c r="J50" s="95">
        <v>46012</v>
      </c>
      <c r="K50" s="96">
        <v>46013</v>
      </c>
      <c r="L50" s="96">
        <v>46014</v>
      </c>
      <c r="M50" s="96">
        <v>46015</v>
      </c>
      <c r="N50" s="112">
        <v>46016</v>
      </c>
      <c r="O50" s="96">
        <v>46017</v>
      </c>
      <c r="P50" s="97">
        <v>46018</v>
      </c>
      <c r="R50" s="116"/>
      <c r="S50" s="117"/>
    </row>
    <row r="51" spans="2:19" ht="16.5" x14ac:dyDescent="0.3">
      <c r="B51" s="95">
        <v>45984</v>
      </c>
      <c r="C51" s="96">
        <v>45985</v>
      </c>
      <c r="D51" s="96">
        <v>45986</v>
      </c>
      <c r="E51" s="96">
        <v>45987</v>
      </c>
      <c r="F51" s="96">
        <v>45988</v>
      </c>
      <c r="G51" s="96">
        <v>45989</v>
      </c>
      <c r="H51" s="97">
        <v>45990</v>
      </c>
      <c r="J51" s="102">
        <v>46019</v>
      </c>
      <c r="K51" s="103">
        <v>46020</v>
      </c>
      <c r="L51" s="103">
        <v>46021</v>
      </c>
      <c r="M51" s="104">
        <v>46022</v>
      </c>
      <c r="N51" s="113"/>
      <c r="O51" s="114"/>
      <c r="P51" s="115"/>
      <c r="R51" s="116"/>
      <c r="S51" s="117"/>
    </row>
    <row r="52" spans="2:19" ht="16.5" x14ac:dyDescent="0.3">
      <c r="B52" s="121">
        <v>45991</v>
      </c>
      <c r="C52" s="113"/>
      <c r="D52" s="114"/>
      <c r="E52" s="114"/>
      <c r="F52" s="114"/>
      <c r="G52" s="114"/>
      <c r="H52" s="115"/>
      <c r="J52" s="106"/>
      <c r="K52" s="106"/>
      <c r="L52" s="106"/>
      <c r="M52" s="106"/>
      <c r="N52" s="106"/>
      <c r="O52" s="106"/>
      <c r="P52" s="106"/>
      <c r="R52" s="116"/>
      <c r="S52" s="117"/>
    </row>
    <row r="53" spans="2:19" ht="16.5" x14ac:dyDescent="0.3">
      <c r="B53" s="127" t="s">
        <v>135</v>
      </c>
      <c r="C53" s="106"/>
      <c r="D53" s="106"/>
      <c r="E53" s="106"/>
      <c r="F53" s="106"/>
      <c r="G53" s="106"/>
      <c r="H53" s="106"/>
      <c r="P53" s="128" t="s">
        <v>136</v>
      </c>
      <c r="R53" s="116"/>
      <c r="S53" s="117"/>
    </row>
    <row r="54" spans="2:19" ht="16.5" x14ac:dyDescent="0.3">
      <c r="R54" s="116"/>
      <c r="S54" s="117"/>
    </row>
    <row r="55" spans="2:19" ht="16.5" x14ac:dyDescent="0.3">
      <c r="R55" s="116"/>
      <c r="S55" s="117"/>
    </row>
    <row r="56" spans="2:19" ht="16.5" x14ac:dyDescent="0.3">
      <c r="R56" s="116"/>
      <c r="S56" s="117"/>
    </row>
    <row r="57" spans="2:19" ht="16.5" x14ac:dyDescent="0.3">
      <c r="R57" s="116"/>
      <c r="S57" s="117"/>
    </row>
    <row r="58" spans="2:19" ht="16.5" x14ac:dyDescent="0.3">
      <c r="R58" s="116"/>
      <c r="S58" s="117"/>
    </row>
    <row r="59" spans="2:19" ht="16.5" x14ac:dyDescent="0.3">
      <c r="R59" s="116"/>
      <c r="S59" s="117"/>
    </row>
    <row r="60" spans="2:19" x14ac:dyDescent="0.25">
      <c r="R60" s="125"/>
      <c r="S60" s="125"/>
    </row>
    <row r="61" spans="2:19" x14ac:dyDescent="0.25">
      <c r="R61" s="125"/>
      <c r="S61" s="125"/>
    </row>
    <row r="62" spans="2:19" x14ac:dyDescent="0.25">
      <c r="R62" s="125"/>
      <c r="S62" s="125"/>
    </row>
    <row r="63" spans="2:19" x14ac:dyDescent="0.25">
      <c r="R63" s="125"/>
      <c r="S63" s="125"/>
    </row>
    <row r="64" spans="2:19" x14ac:dyDescent="0.25">
      <c r="R64" s="125"/>
      <c r="S64" s="125"/>
    </row>
    <row r="65" spans="18:19" x14ac:dyDescent="0.25">
      <c r="R65" s="125"/>
      <c r="S65" s="125"/>
    </row>
    <row r="66" spans="18:19" x14ac:dyDescent="0.25">
      <c r="R66" s="125"/>
      <c r="S66" s="125"/>
    </row>
    <row r="67" spans="18:19" x14ac:dyDescent="0.25">
      <c r="R67" s="125"/>
      <c r="S67" s="125"/>
    </row>
    <row r="68" spans="18:19" x14ac:dyDescent="0.25">
      <c r="R68" s="125"/>
      <c r="S68" s="125"/>
    </row>
  </sheetData>
  <mergeCells count="12">
    <mergeCell ref="D3:F3"/>
    <mergeCell ref="L3:N3"/>
    <mergeCell ref="D11:F11"/>
    <mergeCell ref="L11:N11"/>
    <mergeCell ref="D20:F20"/>
    <mergeCell ref="L20:N20"/>
    <mergeCell ref="D28:F28"/>
    <mergeCell ref="L28:N28"/>
    <mergeCell ref="D37:F37"/>
    <mergeCell ref="L37:N37"/>
    <mergeCell ref="D45:F45"/>
    <mergeCell ref="L45:N45"/>
  </mergeCells>
  <hyperlinks>
    <hyperlink ref="P53" r:id="rId1" xr:uid="{B22BC503-8431-4E3B-8431-E69F504A560F}"/>
    <hyperlink ref="P1" r:id="rId2" display="https://www.wincalendar.com/pt/Modelos-Calendario-Word" xr:uid="{5231C4E8-34FE-46B7-9C0F-1DDB140B728C}"/>
  </hyperlinks>
  <pageMargins left="0.511811024" right="0.511811024" top="0.78740157499999996" bottom="0.78740157499999996" header="0.31496062000000002" footer="0.31496062000000002"/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8F706-CEC2-40F8-ACD5-F61B7E592C89}">
  <sheetPr codeName="Planilha5"/>
  <dimension ref="A1:I73"/>
  <sheetViews>
    <sheetView workbookViewId="0">
      <selection activeCell="K23" sqref="K23"/>
    </sheetView>
  </sheetViews>
  <sheetFormatPr defaultRowHeight="15" x14ac:dyDescent="0.25"/>
  <cols>
    <col min="1" max="1" width="19.28515625" bestFit="1" customWidth="1"/>
    <col min="2" max="2" width="11.5703125" style="49" customWidth="1"/>
    <col min="3" max="3" width="13.28515625" bestFit="1" customWidth="1"/>
    <col min="4" max="4" width="13.28515625" hidden="1" customWidth="1"/>
    <col min="5" max="5" width="12.140625" bestFit="1" customWidth="1"/>
    <col min="6" max="6" width="19.28515625" bestFit="1" customWidth="1"/>
    <col min="7" max="7" width="11.5703125" style="49" customWidth="1"/>
    <col min="8" max="8" width="13.28515625" bestFit="1" customWidth="1"/>
    <col min="9" max="9" width="13.28515625" customWidth="1"/>
  </cols>
  <sheetData>
    <row r="1" spans="1:9" x14ac:dyDescent="0.25">
      <c r="A1" s="4"/>
      <c r="B1" s="3"/>
      <c r="C1" s="2"/>
      <c r="D1" s="1"/>
      <c r="F1" s="4"/>
      <c r="G1" s="3"/>
      <c r="H1" s="2"/>
      <c r="I1" s="1"/>
    </row>
    <row r="2" spans="1:9" ht="15" customHeight="1" x14ac:dyDescent="0.25">
      <c r="A2" s="434" t="s">
        <v>146</v>
      </c>
      <c r="B2" s="434"/>
      <c r="C2" s="434"/>
      <c r="D2" s="434"/>
      <c r="F2" s="434" t="s">
        <v>146</v>
      </c>
      <c r="G2" s="434"/>
      <c r="H2" s="434"/>
      <c r="I2" s="434"/>
    </row>
    <row r="3" spans="1:9" ht="15" customHeight="1" x14ac:dyDescent="0.25">
      <c r="A3" s="434"/>
      <c r="B3" s="434"/>
      <c r="C3" s="434"/>
      <c r="D3" s="434"/>
      <c r="F3" s="434"/>
      <c r="G3" s="434"/>
      <c r="H3" s="434"/>
      <c r="I3" s="434"/>
    </row>
    <row r="4" spans="1:9" ht="15.75" thickBot="1" x14ac:dyDescent="0.3">
      <c r="A4" s="4"/>
      <c r="B4" s="165" t="s">
        <v>166</v>
      </c>
      <c r="C4" s="165" t="s">
        <v>167</v>
      </c>
      <c r="D4" s="165" t="s">
        <v>168</v>
      </c>
      <c r="F4" s="4"/>
      <c r="G4" s="165" t="s">
        <v>166</v>
      </c>
      <c r="H4" s="165" t="s">
        <v>167</v>
      </c>
      <c r="I4" s="165" t="s">
        <v>168</v>
      </c>
    </row>
    <row r="5" spans="1:9" x14ac:dyDescent="0.25">
      <c r="A5" s="166" t="s">
        <v>142</v>
      </c>
      <c r="B5" s="167">
        <v>47.5</v>
      </c>
      <c r="C5" s="158">
        <v>0.125</v>
      </c>
      <c r="D5" s="168">
        <f>B5*C5*24</f>
        <v>142.5</v>
      </c>
      <c r="F5" s="166" t="s">
        <v>142</v>
      </c>
      <c r="G5" s="167">
        <v>47.5</v>
      </c>
      <c r="H5" s="158">
        <v>0.10416666666666667</v>
      </c>
      <c r="I5" s="168">
        <f>G5*H5*24</f>
        <v>118.75</v>
      </c>
    </row>
    <row r="6" spans="1:9" x14ac:dyDescent="0.25">
      <c r="A6" s="169" t="s">
        <v>143</v>
      </c>
      <c r="B6" s="141">
        <v>47.5</v>
      </c>
      <c r="C6" s="140">
        <v>0.125</v>
      </c>
      <c r="D6" s="170">
        <f t="shared" ref="D6:D7" si="0">B6*C6*24</f>
        <v>142.5</v>
      </c>
      <c r="F6" s="169" t="s">
        <v>143</v>
      </c>
      <c r="G6" s="141">
        <v>47.5</v>
      </c>
      <c r="H6" s="140">
        <v>0.10416666666666667</v>
      </c>
      <c r="I6" s="170">
        <f t="shared" ref="I6:I7" si="1">G6*H6*24</f>
        <v>118.75</v>
      </c>
    </row>
    <row r="7" spans="1:9" ht="15.75" thickBot="1" x14ac:dyDescent="0.3">
      <c r="A7" s="171" t="s">
        <v>144</v>
      </c>
      <c r="B7" s="172">
        <v>47.5</v>
      </c>
      <c r="C7" s="163">
        <v>0.125</v>
      </c>
      <c r="D7" s="173">
        <f t="shared" si="0"/>
        <v>142.5</v>
      </c>
      <c r="F7" s="171" t="s">
        <v>144</v>
      </c>
      <c r="G7" s="172">
        <v>47.5</v>
      </c>
      <c r="H7" s="163">
        <v>0.10416666666666667</v>
      </c>
      <c r="I7" s="173">
        <f t="shared" si="1"/>
        <v>118.75</v>
      </c>
    </row>
    <row r="8" spans="1:9" ht="15" hidden="1" customHeight="1" x14ac:dyDescent="0.25">
      <c r="A8" s="137"/>
      <c r="B8" s="143">
        <f>SUM(B5:B7)</f>
        <v>142.5</v>
      </c>
      <c r="C8" s="144"/>
      <c r="D8" s="145">
        <f>SUM(D5:D7)</f>
        <v>427.5</v>
      </c>
      <c r="F8" s="137"/>
      <c r="G8" s="143">
        <f>SUM(G5:G7)</f>
        <v>142.5</v>
      </c>
      <c r="H8" s="144"/>
      <c r="I8" s="145">
        <f>SUM(I5:I7)</f>
        <v>356.25</v>
      </c>
    </row>
    <row r="9" spans="1:9" ht="15.75" thickBot="1" x14ac:dyDescent="0.3">
      <c r="A9" s="4"/>
      <c r="B9" s="3"/>
      <c r="C9" s="2"/>
      <c r="D9" s="1"/>
      <c r="F9" s="4"/>
      <c r="G9" s="3"/>
      <c r="H9" s="2"/>
      <c r="I9" s="1"/>
    </row>
    <row r="10" spans="1:9" ht="30.75" thickBot="1" x14ac:dyDescent="0.3">
      <c r="A10" s="154" t="s">
        <v>164</v>
      </c>
      <c r="B10" s="155" t="s">
        <v>165</v>
      </c>
      <c r="C10" s="156" t="s">
        <v>169</v>
      </c>
      <c r="F10" s="154" t="s">
        <v>164</v>
      </c>
      <c r="G10" s="155" t="s">
        <v>165</v>
      </c>
      <c r="H10" s="156" t="s">
        <v>169</v>
      </c>
    </row>
    <row r="11" spans="1:9" x14ac:dyDescent="0.25">
      <c r="A11" s="152" t="s">
        <v>147</v>
      </c>
      <c r="B11" s="50">
        <f>COUNTA(A12:B14)</f>
        <v>3</v>
      </c>
      <c r="C11" s="153">
        <f>B11*$D$8</f>
        <v>1282.5</v>
      </c>
      <c r="F11" s="152" t="s">
        <v>147</v>
      </c>
      <c r="G11" s="50"/>
      <c r="H11" s="153">
        <f>G11*$D$8</f>
        <v>0</v>
      </c>
    </row>
    <row r="12" spans="1:9" ht="15" hidden="1" customHeight="1" x14ac:dyDescent="0.25">
      <c r="A12" s="139">
        <v>45699</v>
      </c>
      <c r="B12" s="138"/>
      <c r="C12" s="146"/>
      <c r="F12" s="139">
        <v>45699</v>
      </c>
      <c r="G12" s="138"/>
      <c r="H12" s="146"/>
    </row>
    <row r="13" spans="1:9" ht="15" hidden="1" customHeight="1" x14ac:dyDescent="0.25">
      <c r="A13" s="139">
        <v>45706</v>
      </c>
      <c r="B13" s="138"/>
      <c r="C13" s="146"/>
      <c r="F13" s="139">
        <v>45706</v>
      </c>
      <c r="G13" s="138"/>
      <c r="H13" s="146"/>
    </row>
    <row r="14" spans="1:9" ht="15" hidden="1" customHeight="1" x14ac:dyDescent="0.25">
      <c r="A14" s="139">
        <v>45713</v>
      </c>
      <c r="B14" s="138"/>
      <c r="C14" s="146"/>
      <c r="F14" s="139">
        <v>45713</v>
      </c>
      <c r="G14" s="138"/>
      <c r="H14" s="146"/>
    </row>
    <row r="15" spans="1:9" x14ac:dyDescent="0.25">
      <c r="A15" s="136" t="s">
        <v>154</v>
      </c>
      <c r="B15" s="138">
        <f>COUNTA(A16:B18)</f>
        <v>3</v>
      </c>
      <c r="C15" s="146">
        <f>B15*D8</f>
        <v>1282.5</v>
      </c>
      <c r="F15" s="136" t="s">
        <v>154</v>
      </c>
      <c r="G15" s="138"/>
      <c r="H15" s="146">
        <f>G15*I8</f>
        <v>0</v>
      </c>
    </row>
    <row r="16" spans="1:9" ht="15" hidden="1" customHeight="1" x14ac:dyDescent="0.25">
      <c r="A16" s="139">
        <v>45727</v>
      </c>
      <c r="B16" s="138"/>
      <c r="C16" s="146"/>
      <c r="F16" s="139">
        <v>45727</v>
      </c>
      <c r="G16" s="138"/>
      <c r="H16" s="146"/>
    </row>
    <row r="17" spans="1:8" ht="15" hidden="1" customHeight="1" x14ac:dyDescent="0.25">
      <c r="A17" s="139">
        <v>45734</v>
      </c>
      <c r="B17" s="138"/>
      <c r="C17" s="146"/>
      <c r="F17" s="139">
        <v>45734</v>
      </c>
      <c r="G17" s="138"/>
      <c r="H17" s="146"/>
    </row>
    <row r="18" spans="1:8" ht="15" hidden="1" customHeight="1" x14ac:dyDescent="0.25">
      <c r="A18" s="139">
        <v>45741</v>
      </c>
      <c r="B18" s="138"/>
      <c r="C18" s="146"/>
      <c r="F18" s="139">
        <v>45741</v>
      </c>
      <c r="G18" s="138"/>
      <c r="H18" s="146"/>
    </row>
    <row r="19" spans="1:8" x14ac:dyDescent="0.25">
      <c r="A19" s="136" t="s">
        <v>155</v>
      </c>
      <c r="B19" s="138">
        <f>COUNTA(A20:B24)</f>
        <v>5</v>
      </c>
      <c r="C19" s="146">
        <f>B19*D8</f>
        <v>2137.5</v>
      </c>
      <c r="F19" s="136" t="s">
        <v>155</v>
      </c>
      <c r="G19" s="138"/>
      <c r="H19" s="146">
        <f>G19*I8</f>
        <v>0</v>
      </c>
    </row>
    <row r="20" spans="1:8" ht="15" hidden="1" customHeight="1" x14ac:dyDescent="0.25">
      <c r="A20" s="139">
        <v>45748</v>
      </c>
      <c r="B20" s="139"/>
      <c r="C20" s="146"/>
      <c r="F20" s="139">
        <v>45748</v>
      </c>
      <c r="G20" s="139"/>
      <c r="H20" s="146"/>
    </row>
    <row r="21" spans="1:8" ht="15" hidden="1" customHeight="1" x14ac:dyDescent="0.25">
      <c r="A21" s="139">
        <v>45755</v>
      </c>
      <c r="B21" s="139"/>
      <c r="C21" s="146"/>
      <c r="F21" s="139">
        <v>45755</v>
      </c>
      <c r="G21" s="139"/>
      <c r="H21" s="146"/>
    </row>
    <row r="22" spans="1:8" ht="15" hidden="1" customHeight="1" x14ac:dyDescent="0.25">
      <c r="A22" s="139">
        <v>45762</v>
      </c>
      <c r="B22" s="139"/>
      <c r="C22" s="146"/>
      <c r="F22" s="139">
        <v>45762</v>
      </c>
      <c r="G22" s="139"/>
      <c r="H22" s="146"/>
    </row>
    <row r="23" spans="1:8" ht="15" hidden="1" customHeight="1" x14ac:dyDescent="0.25">
      <c r="A23" s="139">
        <v>45769</v>
      </c>
      <c r="B23" s="139"/>
      <c r="C23" s="146"/>
      <c r="F23" s="139">
        <v>45769</v>
      </c>
      <c r="G23" s="139"/>
      <c r="H23" s="146"/>
    </row>
    <row r="24" spans="1:8" ht="15" hidden="1" customHeight="1" x14ac:dyDescent="0.25">
      <c r="A24" s="139">
        <v>45776</v>
      </c>
      <c r="B24" s="139"/>
      <c r="C24" s="146"/>
      <c r="E24" s="296"/>
      <c r="F24" s="139">
        <v>45776</v>
      </c>
      <c r="G24" s="139"/>
      <c r="H24" s="146"/>
    </row>
    <row r="25" spans="1:8" x14ac:dyDescent="0.25">
      <c r="A25" s="136" t="s">
        <v>156</v>
      </c>
      <c r="B25" s="138">
        <f>COUNTA(A26:B29)</f>
        <v>5</v>
      </c>
      <c r="C25" s="146">
        <f>B25*D8</f>
        <v>2137.5</v>
      </c>
      <c r="F25" s="136" t="s">
        <v>156</v>
      </c>
      <c r="G25" s="138"/>
      <c r="H25" s="146">
        <f>G25*I8</f>
        <v>0</v>
      </c>
    </row>
    <row r="26" spans="1:8" ht="15" hidden="1" customHeight="1" x14ac:dyDescent="0.25">
      <c r="A26" s="139">
        <v>45783</v>
      </c>
      <c r="B26" s="139">
        <v>45785</v>
      </c>
      <c r="C26" s="146"/>
      <c r="F26" s="139">
        <v>45783</v>
      </c>
      <c r="G26" s="139"/>
      <c r="H26" s="146"/>
    </row>
    <row r="27" spans="1:8" ht="15" hidden="1" customHeight="1" x14ac:dyDescent="0.25">
      <c r="A27" s="139">
        <v>45790</v>
      </c>
      <c r="B27" s="138"/>
      <c r="C27" s="146"/>
      <c r="F27" s="139">
        <v>45790</v>
      </c>
      <c r="G27" s="138"/>
      <c r="H27" s="146"/>
    </row>
    <row r="28" spans="1:8" ht="15" hidden="1" customHeight="1" x14ac:dyDescent="0.25">
      <c r="A28" s="139">
        <v>45797</v>
      </c>
      <c r="B28" s="138"/>
      <c r="C28" s="146"/>
      <c r="F28" s="139">
        <v>45797</v>
      </c>
      <c r="G28" s="138"/>
      <c r="H28" s="146"/>
    </row>
    <row r="29" spans="1:8" ht="15" hidden="1" customHeight="1" x14ac:dyDescent="0.25">
      <c r="A29" s="139">
        <v>45804</v>
      </c>
      <c r="B29" s="138"/>
      <c r="C29" s="146"/>
      <c r="F29" s="139">
        <v>45804</v>
      </c>
      <c r="G29" s="138"/>
      <c r="H29" s="146"/>
    </row>
    <row r="30" spans="1:8" x14ac:dyDescent="0.25">
      <c r="A30" s="136" t="s">
        <v>157</v>
      </c>
      <c r="B30" s="138">
        <f>COUNTA(A31:B34)</f>
        <v>4</v>
      </c>
      <c r="C30" s="146">
        <f>B30*D8</f>
        <v>1710</v>
      </c>
      <c r="F30" s="136" t="s">
        <v>157</v>
      </c>
      <c r="G30" s="138"/>
      <c r="H30" s="146">
        <f>G30*I8</f>
        <v>0</v>
      </c>
    </row>
    <row r="31" spans="1:8" ht="15" hidden="1" customHeight="1" x14ac:dyDescent="0.25">
      <c r="A31" s="139">
        <v>45811</v>
      </c>
      <c r="B31" s="139"/>
      <c r="C31" s="146"/>
      <c r="F31" s="139">
        <v>45811</v>
      </c>
      <c r="G31" s="139"/>
      <c r="H31" s="146"/>
    </row>
    <row r="32" spans="1:8" ht="15" hidden="1" customHeight="1" x14ac:dyDescent="0.25">
      <c r="A32" s="139">
        <v>45818</v>
      </c>
      <c r="B32" s="139"/>
      <c r="C32" s="146"/>
      <c r="F32" s="139">
        <v>45818</v>
      </c>
      <c r="G32" s="139"/>
      <c r="H32" s="146"/>
    </row>
    <row r="33" spans="1:8" ht="15" hidden="1" customHeight="1" x14ac:dyDescent="0.25">
      <c r="A33" s="139">
        <v>45825</v>
      </c>
      <c r="B33" s="139"/>
      <c r="C33" s="146"/>
      <c r="F33" s="139">
        <v>45825</v>
      </c>
      <c r="G33" s="139"/>
      <c r="H33" s="146"/>
    </row>
    <row r="34" spans="1:8" ht="15" hidden="1" customHeight="1" x14ac:dyDescent="0.25">
      <c r="A34" s="139">
        <v>45832</v>
      </c>
      <c r="B34" s="138"/>
      <c r="C34" s="146"/>
      <c r="F34" s="139">
        <v>45832</v>
      </c>
      <c r="G34" s="138"/>
      <c r="H34" s="146"/>
    </row>
    <row r="35" spans="1:8" x14ac:dyDescent="0.25">
      <c r="A35" s="136" t="s">
        <v>158</v>
      </c>
      <c r="B35" s="138">
        <f>COUNTA(A36:B37)</f>
        <v>2</v>
      </c>
      <c r="C35" s="305">
        <f>B35*D8</f>
        <v>855</v>
      </c>
      <c r="F35" s="136" t="s">
        <v>158</v>
      </c>
      <c r="G35" s="138">
        <f>COUNTA(F36:G37)</f>
        <v>4</v>
      </c>
      <c r="H35" s="146">
        <f>G35*I8</f>
        <v>1425</v>
      </c>
    </row>
    <row r="36" spans="1:8" x14ac:dyDescent="0.25">
      <c r="A36" s="139">
        <v>45860</v>
      </c>
      <c r="B36" s="304"/>
      <c r="C36" s="146"/>
      <c r="F36" s="139">
        <v>45860</v>
      </c>
      <c r="G36" s="304">
        <v>23</v>
      </c>
      <c r="H36" s="146"/>
    </row>
    <row r="37" spans="1:8" x14ac:dyDescent="0.25">
      <c r="A37" s="139">
        <v>45867</v>
      </c>
      <c r="B37" s="304"/>
      <c r="C37" s="146"/>
      <c r="F37" s="139">
        <v>45867</v>
      </c>
      <c r="G37" s="304">
        <v>30</v>
      </c>
      <c r="H37" s="146"/>
    </row>
    <row r="38" spans="1:8" x14ac:dyDescent="0.25">
      <c r="A38" s="136" t="s">
        <v>159</v>
      </c>
      <c r="B38" s="138">
        <f>COUNTA(A39:B42)</f>
        <v>4</v>
      </c>
      <c r="C38" s="146">
        <f>B38*D8</f>
        <v>1710</v>
      </c>
      <c r="F38" s="136" t="s">
        <v>159</v>
      </c>
      <c r="G38" s="138"/>
      <c r="H38" s="146">
        <f>G38*I8</f>
        <v>0</v>
      </c>
    </row>
    <row r="39" spans="1:8" ht="15" hidden="1" customHeight="1" x14ac:dyDescent="0.25">
      <c r="A39" s="139">
        <v>45874</v>
      </c>
      <c r="B39" s="138"/>
      <c r="C39" s="146"/>
      <c r="F39" s="139">
        <v>45874</v>
      </c>
      <c r="G39" s="138"/>
      <c r="H39" s="146"/>
    </row>
    <row r="40" spans="1:8" ht="15" hidden="1" customHeight="1" x14ac:dyDescent="0.25">
      <c r="A40" s="139">
        <v>45881</v>
      </c>
      <c r="B40" s="138"/>
      <c r="C40" s="146"/>
      <c r="F40" s="139">
        <v>45881</v>
      </c>
      <c r="G40" s="138"/>
      <c r="H40" s="146"/>
    </row>
    <row r="41" spans="1:8" ht="15" hidden="1" customHeight="1" x14ac:dyDescent="0.25">
      <c r="A41" s="139">
        <v>45888</v>
      </c>
      <c r="B41" s="138"/>
      <c r="C41" s="146"/>
      <c r="F41" s="139">
        <v>45888</v>
      </c>
      <c r="G41" s="138"/>
      <c r="H41" s="146"/>
    </row>
    <row r="42" spans="1:8" ht="15" hidden="1" customHeight="1" x14ac:dyDescent="0.25">
      <c r="A42" s="139">
        <v>45895</v>
      </c>
      <c r="B42" s="138"/>
      <c r="C42" s="146"/>
      <c r="F42" s="139">
        <v>45895</v>
      </c>
      <c r="G42" s="138"/>
      <c r="H42" s="146"/>
    </row>
    <row r="43" spans="1:8" x14ac:dyDescent="0.25">
      <c r="A43" s="136" t="s">
        <v>160</v>
      </c>
      <c r="B43" s="138">
        <f>COUNTA(A44:B48)</f>
        <v>5</v>
      </c>
      <c r="C43" s="146">
        <f>B43*D8</f>
        <v>2137.5</v>
      </c>
      <c r="F43" s="136" t="s">
        <v>160</v>
      </c>
      <c r="G43" s="138"/>
      <c r="H43" s="146">
        <f>G43*I8</f>
        <v>0</v>
      </c>
    </row>
    <row r="44" spans="1:8" ht="15" hidden="1" customHeight="1" x14ac:dyDescent="0.25">
      <c r="A44" s="139">
        <v>45902</v>
      </c>
      <c r="B44" s="138"/>
      <c r="C44" s="146"/>
      <c r="F44" s="139">
        <v>45902</v>
      </c>
      <c r="G44" s="138"/>
      <c r="H44" s="146"/>
    </row>
    <row r="45" spans="1:8" ht="15" hidden="1" customHeight="1" x14ac:dyDescent="0.25">
      <c r="A45" s="139">
        <v>45909</v>
      </c>
      <c r="B45" s="138"/>
      <c r="C45" s="146"/>
      <c r="F45" s="139">
        <v>45909</v>
      </c>
      <c r="G45" s="138"/>
      <c r="H45" s="146"/>
    </row>
    <row r="46" spans="1:8" ht="15" hidden="1" customHeight="1" x14ac:dyDescent="0.25">
      <c r="A46" s="139">
        <v>45916</v>
      </c>
      <c r="B46" s="138"/>
      <c r="C46" s="146"/>
      <c r="F46" s="139">
        <v>45916</v>
      </c>
      <c r="G46" s="138"/>
      <c r="H46" s="146"/>
    </row>
    <row r="47" spans="1:8" ht="15" hidden="1" customHeight="1" x14ac:dyDescent="0.25">
      <c r="A47" s="139">
        <v>45923</v>
      </c>
      <c r="B47" s="138"/>
      <c r="C47" s="146"/>
      <c r="F47" s="139">
        <v>45923</v>
      </c>
      <c r="G47" s="138"/>
      <c r="H47" s="146"/>
    </row>
    <row r="48" spans="1:8" ht="15" hidden="1" customHeight="1" x14ac:dyDescent="0.25">
      <c r="A48" s="139">
        <v>45930</v>
      </c>
      <c r="B48" s="138"/>
      <c r="C48" s="146"/>
      <c r="F48" s="139">
        <v>45930</v>
      </c>
      <c r="G48" s="138"/>
      <c r="H48" s="146"/>
    </row>
    <row r="49" spans="1:8" x14ac:dyDescent="0.25">
      <c r="A49" s="136" t="s">
        <v>161</v>
      </c>
      <c r="B49" s="138">
        <f>COUNTA(A50:B53)</f>
        <v>4</v>
      </c>
      <c r="C49" s="146">
        <f>B49*D8</f>
        <v>1710</v>
      </c>
      <c r="F49" s="136" t="s">
        <v>161</v>
      </c>
      <c r="G49" s="138"/>
      <c r="H49" s="146">
        <f>G49*I8</f>
        <v>0</v>
      </c>
    </row>
    <row r="50" spans="1:8" ht="15" hidden="1" customHeight="1" x14ac:dyDescent="0.25">
      <c r="A50" s="139">
        <v>45937</v>
      </c>
      <c r="B50" s="138"/>
      <c r="C50" s="146"/>
      <c r="F50" s="139">
        <v>45937</v>
      </c>
      <c r="G50" s="138"/>
      <c r="H50" s="146"/>
    </row>
    <row r="51" spans="1:8" ht="15" hidden="1" customHeight="1" x14ac:dyDescent="0.25">
      <c r="A51" s="139">
        <v>45944</v>
      </c>
      <c r="B51" s="138"/>
      <c r="C51" s="146"/>
      <c r="F51" s="139">
        <v>45944</v>
      </c>
      <c r="G51" s="138"/>
      <c r="H51" s="146"/>
    </row>
    <row r="52" spans="1:8" ht="15" hidden="1" customHeight="1" x14ac:dyDescent="0.25">
      <c r="A52" s="139">
        <v>45951</v>
      </c>
      <c r="B52" s="138"/>
      <c r="C52" s="146"/>
      <c r="F52" s="139">
        <v>45951</v>
      </c>
      <c r="G52" s="138"/>
      <c r="H52" s="146"/>
    </row>
    <row r="53" spans="1:8" ht="15" hidden="1" customHeight="1" x14ac:dyDescent="0.25">
      <c r="A53" s="139">
        <v>45958</v>
      </c>
      <c r="B53" s="138"/>
      <c r="C53" s="146"/>
      <c r="F53" s="139">
        <v>45958</v>
      </c>
      <c r="G53" s="138"/>
      <c r="H53" s="146"/>
    </row>
    <row r="54" spans="1:8" x14ac:dyDescent="0.25">
      <c r="A54" s="136" t="s">
        <v>162</v>
      </c>
      <c r="B54" s="138">
        <f>COUNTA(A55:B58)</f>
        <v>8</v>
      </c>
      <c r="C54" s="146">
        <f>B54*D8</f>
        <v>3420</v>
      </c>
      <c r="F54" s="136" t="s">
        <v>162</v>
      </c>
      <c r="G54" s="138"/>
      <c r="H54" s="146">
        <f>G54*I8</f>
        <v>0</v>
      </c>
    </row>
    <row r="55" spans="1:8" ht="15" hidden="1" customHeight="1" x14ac:dyDescent="0.25">
      <c r="A55" s="139">
        <v>45965</v>
      </c>
      <c r="B55" s="139">
        <v>5</v>
      </c>
      <c r="C55" s="146"/>
      <c r="F55" s="139">
        <v>45965</v>
      </c>
      <c r="G55" s="139"/>
      <c r="H55" s="146"/>
    </row>
    <row r="56" spans="1:8" ht="15" hidden="1" customHeight="1" x14ac:dyDescent="0.25">
      <c r="A56" s="139">
        <v>45972</v>
      </c>
      <c r="B56" s="139">
        <v>12</v>
      </c>
      <c r="C56" s="146"/>
      <c r="F56" s="139">
        <v>45972</v>
      </c>
      <c r="G56" s="139"/>
      <c r="H56" s="146"/>
    </row>
    <row r="57" spans="1:8" ht="15" hidden="1" customHeight="1" x14ac:dyDescent="0.25">
      <c r="A57" s="139">
        <v>45979</v>
      </c>
      <c r="B57" s="139">
        <v>19</v>
      </c>
      <c r="C57" s="146"/>
      <c r="F57" s="139">
        <v>45979</v>
      </c>
      <c r="G57" s="139"/>
      <c r="H57" s="146"/>
    </row>
    <row r="58" spans="1:8" ht="15" hidden="1" customHeight="1" x14ac:dyDescent="0.25">
      <c r="A58" s="139">
        <v>45986</v>
      </c>
      <c r="B58" s="139">
        <v>26</v>
      </c>
      <c r="C58" s="146"/>
      <c r="F58" s="139">
        <v>45986</v>
      </c>
      <c r="G58" s="139"/>
      <c r="H58" s="146"/>
    </row>
    <row r="59" spans="1:8" x14ac:dyDescent="0.25">
      <c r="A59" s="136" t="s">
        <v>163</v>
      </c>
      <c r="B59" s="138">
        <f>COUNTA(A60:B62)</f>
        <v>6</v>
      </c>
      <c r="C59" s="146">
        <f>B59*D8</f>
        <v>2565</v>
      </c>
      <c r="F59" s="136" t="s">
        <v>163</v>
      </c>
      <c r="G59" s="138"/>
      <c r="H59" s="146">
        <f>G59*I8</f>
        <v>0</v>
      </c>
    </row>
    <row r="60" spans="1:8" x14ac:dyDescent="0.25">
      <c r="A60" s="84">
        <v>45993</v>
      </c>
      <c r="B60" s="84">
        <v>3</v>
      </c>
      <c r="F60" s="84"/>
      <c r="G60" s="84"/>
    </row>
    <row r="61" spans="1:8" x14ac:dyDescent="0.25">
      <c r="A61" s="84">
        <v>46000</v>
      </c>
      <c r="B61" s="84">
        <v>10</v>
      </c>
      <c r="F61" s="84"/>
      <c r="G61" s="84"/>
    </row>
    <row r="62" spans="1:8" ht="15.75" thickBot="1" x14ac:dyDescent="0.3">
      <c r="A62" s="96">
        <v>46007</v>
      </c>
      <c r="B62" s="96">
        <v>17</v>
      </c>
      <c r="F62" s="96"/>
      <c r="G62" s="96"/>
    </row>
    <row r="63" spans="1:8" ht="15.75" thickBot="1" x14ac:dyDescent="0.3">
      <c r="A63" s="149" t="s">
        <v>170</v>
      </c>
      <c r="B63" s="150"/>
      <c r="C63" s="151">
        <f>SUM(C11:C59)</f>
        <v>20947.5</v>
      </c>
      <c r="F63" s="149" t="s">
        <v>170</v>
      </c>
      <c r="G63" s="150"/>
      <c r="H63" s="151">
        <f>SUM(H11:H59)</f>
        <v>1425</v>
      </c>
    </row>
    <row r="65" spans="1:8" ht="15.75" thickBot="1" x14ac:dyDescent="0.3"/>
    <row r="66" spans="1:8" ht="30.75" thickBot="1" x14ac:dyDescent="0.3">
      <c r="A66" s="154" t="s">
        <v>171</v>
      </c>
      <c r="B66" s="154" t="s">
        <v>1</v>
      </c>
      <c r="C66" s="154" t="s">
        <v>176</v>
      </c>
      <c r="F66" s="154" t="s">
        <v>171</v>
      </c>
      <c r="G66" s="154" t="s">
        <v>1</v>
      </c>
      <c r="H66" s="154" t="s">
        <v>176</v>
      </c>
    </row>
    <row r="67" spans="1:8" x14ac:dyDescent="0.25">
      <c r="A67" s="157" t="s">
        <v>172</v>
      </c>
      <c r="B67" s="158">
        <v>0.16666666666666666</v>
      </c>
      <c r="C67" s="159">
        <f>B67*$B$8*24</f>
        <v>570</v>
      </c>
      <c r="F67" s="157" t="s">
        <v>172</v>
      </c>
      <c r="G67" s="158">
        <v>0.16666666666666666</v>
      </c>
      <c r="H67" s="159">
        <f>G67*$B$8*24</f>
        <v>570</v>
      </c>
    </row>
    <row r="68" spans="1:8" x14ac:dyDescent="0.25">
      <c r="A68" s="160" t="s">
        <v>173</v>
      </c>
      <c r="B68" s="140">
        <v>0.20833333333333334</v>
      </c>
      <c r="C68" s="161">
        <f t="shared" ref="C68:C70" si="2">B68*$B$8*24</f>
        <v>712.5</v>
      </c>
      <c r="F68" s="160" t="s">
        <v>173</v>
      </c>
      <c r="G68" s="140">
        <v>0.20833333333333334</v>
      </c>
      <c r="H68" s="161">
        <f t="shared" ref="H68:H70" si="3">G68*$B$8*24</f>
        <v>712.5</v>
      </c>
    </row>
    <row r="69" spans="1:8" x14ac:dyDescent="0.25">
      <c r="A69" s="160" t="s">
        <v>174</v>
      </c>
      <c r="B69" s="140">
        <v>0.20833333333333334</v>
      </c>
      <c r="C69" s="161">
        <f t="shared" si="2"/>
        <v>712.5</v>
      </c>
      <c r="F69" s="160" t="s">
        <v>174</v>
      </c>
      <c r="G69" s="140">
        <v>0.20833333333333334</v>
      </c>
      <c r="H69" s="161">
        <f t="shared" si="3"/>
        <v>712.5</v>
      </c>
    </row>
    <row r="70" spans="1:8" ht="15.75" thickBot="1" x14ac:dyDescent="0.3">
      <c r="A70" s="162" t="s">
        <v>175</v>
      </c>
      <c r="B70" s="163">
        <v>0.20833333333333334</v>
      </c>
      <c r="C70" s="164">
        <f t="shared" si="2"/>
        <v>712.5</v>
      </c>
      <c r="F70" s="162" t="s">
        <v>175</v>
      </c>
      <c r="G70" s="163">
        <v>0.20833333333333334</v>
      </c>
      <c r="H70" s="164">
        <f t="shared" si="3"/>
        <v>712.5</v>
      </c>
    </row>
    <row r="71" spans="1:8" ht="15.75" thickBot="1" x14ac:dyDescent="0.3">
      <c r="A71" s="149" t="s">
        <v>177</v>
      </c>
      <c r="B71" s="150"/>
      <c r="C71" s="151">
        <f>SUM(C67:C70)</f>
        <v>2707.5</v>
      </c>
      <c r="F71" s="149" t="s">
        <v>177</v>
      </c>
      <c r="G71" s="150"/>
      <c r="H71" s="151">
        <f>SUM(H67:H70)</f>
        <v>2707.5</v>
      </c>
    </row>
    <row r="73" spans="1:8" x14ac:dyDescent="0.25">
      <c r="C73" s="147">
        <f>C63+C71</f>
        <v>23655</v>
      </c>
      <c r="H73" s="147">
        <f>H63+H71</f>
        <v>4132.5</v>
      </c>
    </row>
  </sheetData>
  <mergeCells count="2">
    <mergeCell ref="A2:D3"/>
    <mergeCell ref="F2:I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D8DDA-BC7C-4EC1-A41D-F1EBBB69C3A0}">
  <sheetPr codeName="Planilha6"/>
  <dimension ref="A1:S49"/>
  <sheetViews>
    <sheetView showGridLines="0" zoomScaleNormal="100" workbookViewId="0">
      <selection activeCell="K23" sqref="K23"/>
    </sheetView>
  </sheetViews>
  <sheetFormatPr defaultRowHeight="15" x14ac:dyDescent="0.25"/>
  <cols>
    <col min="1" max="1" width="6.28515625" customWidth="1"/>
    <col min="2" max="2" width="10.7109375" customWidth="1"/>
    <col min="3" max="3" width="10.5703125" customWidth="1"/>
    <col min="4" max="4" width="5" customWidth="1"/>
    <col min="5" max="9" width="3.85546875" customWidth="1"/>
    <col min="10" max="10" width="4.140625" customWidth="1"/>
    <col min="11" max="11" width="7.85546875" customWidth="1"/>
    <col min="12" max="12" width="8.28515625" customWidth="1"/>
    <col min="13" max="13" width="11.85546875" customWidth="1"/>
    <col min="15" max="19" width="11.5703125" customWidth="1"/>
  </cols>
  <sheetData>
    <row r="1" spans="1:19" ht="15.75" x14ac:dyDescent="0.25">
      <c r="A1" s="439" t="s">
        <v>23</v>
      </c>
      <c r="B1" s="439"/>
      <c r="C1" s="439"/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R1" s="186" t="s">
        <v>208</v>
      </c>
      <c r="S1" s="323" t="s">
        <v>381</v>
      </c>
    </row>
    <row r="2" spans="1:19" ht="15.75" x14ac:dyDescent="0.25">
      <c r="A2" s="29"/>
      <c r="R2" s="186" t="s">
        <v>85</v>
      </c>
    </row>
    <row r="3" spans="1:19" ht="12.75" customHeight="1" x14ac:dyDescent="0.25">
      <c r="A3" s="440" t="s">
        <v>24</v>
      </c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</row>
    <row r="4" spans="1:19" ht="6" customHeight="1" x14ac:dyDescent="0.25">
      <c r="A4" s="30"/>
    </row>
    <row r="5" spans="1:19" ht="15" customHeight="1" x14ac:dyDescent="0.25">
      <c r="A5" s="442" t="s">
        <v>25</v>
      </c>
      <c r="B5" s="442"/>
      <c r="C5" s="442"/>
      <c r="D5" s="442"/>
      <c r="E5" s="442"/>
      <c r="F5" s="442"/>
      <c r="G5" s="442"/>
      <c r="H5" s="442" t="s">
        <v>27</v>
      </c>
      <c r="I5" s="442"/>
      <c r="J5" s="442"/>
      <c r="K5" s="442"/>
      <c r="L5" s="442" t="s">
        <v>29</v>
      </c>
      <c r="M5" s="442"/>
      <c r="N5" s="442"/>
    </row>
    <row r="6" spans="1:19" ht="24" customHeight="1" x14ac:dyDescent="0.25">
      <c r="A6" s="443" t="s">
        <v>26</v>
      </c>
      <c r="B6" s="443"/>
      <c r="C6" s="443"/>
      <c r="D6" s="443"/>
      <c r="E6" s="443"/>
      <c r="F6" s="443"/>
      <c r="G6" s="443"/>
      <c r="H6" s="445" t="s">
        <v>28</v>
      </c>
      <c r="I6" s="445"/>
      <c r="J6" s="445"/>
      <c r="K6" s="445"/>
      <c r="L6" s="444"/>
      <c r="M6" s="444"/>
      <c r="N6" s="444"/>
    </row>
    <row r="7" spans="1:19" ht="24.75" customHeight="1" x14ac:dyDescent="0.25">
      <c r="A7" s="442" t="s">
        <v>30</v>
      </c>
      <c r="B7" s="442"/>
      <c r="C7" s="442"/>
      <c r="D7" s="442"/>
      <c r="E7" s="442"/>
      <c r="F7" s="442"/>
      <c r="G7" s="442"/>
      <c r="H7" s="447" t="s">
        <v>32</v>
      </c>
      <c r="I7" s="447"/>
      <c r="J7" s="447"/>
      <c r="K7" s="447"/>
      <c r="L7" s="442" t="s">
        <v>35</v>
      </c>
      <c r="M7" s="442"/>
      <c r="N7" s="442"/>
    </row>
    <row r="8" spans="1:19" ht="16.5" customHeight="1" x14ac:dyDescent="0.25">
      <c r="A8" s="448" t="s">
        <v>31</v>
      </c>
      <c r="B8" s="448"/>
      <c r="C8" s="448"/>
      <c r="D8" s="448"/>
      <c r="E8" s="448"/>
      <c r="F8" s="448"/>
      <c r="G8" s="448"/>
      <c r="H8" s="446" t="s">
        <v>33</v>
      </c>
      <c r="I8" s="446"/>
      <c r="J8" s="446"/>
      <c r="K8" s="446"/>
      <c r="L8" s="449" t="s">
        <v>36</v>
      </c>
      <c r="M8" s="449"/>
      <c r="N8" s="449"/>
    </row>
    <row r="9" spans="1:19" ht="16.5" customHeight="1" x14ac:dyDescent="0.25">
      <c r="A9" s="443"/>
      <c r="B9" s="443"/>
      <c r="C9" s="443"/>
      <c r="D9" s="443"/>
      <c r="E9" s="443"/>
      <c r="F9" s="443"/>
      <c r="G9" s="443"/>
      <c r="H9" s="445" t="s">
        <v>34</v>
      </c>
      <c r="I9" s="445"/>
      <c r="J9" s="445"/>
      <c r="K9" s="445"/>
      <c r="L9" s="450"/>
      <c r="M9" s="450"/>
      <c r="N9" s="450"/>
    </row>
    <row r="10" spans="1:19" ht="16.5" customHeight="1" x14ac:dyDescent="0.25">
      <c r="A10" s="442" t="s">
        <v>37</v>
      </c>
      <c r="B10" s="442"/>
      <c r="C10" s="442"/>
      <c r="D10" s="442"/>
      <c r="E10" s="442"/>
      <c r="F10" s="442"/>
      <c r="G10" s="442"/>
      <c r="H10" s="442"/>
      <c r="I10" s="442"/>
      <c r="J10" s="442"/>
      <c r="K10" s="442"/>
      <c r="L10" s="442" t="s">
        <v>39</v>
      </c>
      <c r="M10" s="442"/>
      <c r="N10" s="442"/>
    </row>
    <row r="11" spans="1:19" ht="33" customHeight="1" x14ac:dyDescent="0.25">
      <c r="A11" s="443" t="s">
        <v>38</v>
      </c>
      <c r="B11" s="443"/>
      <c r="C11" s="443"/>
      <c r="D11" s="443"/>
      <c r="E11" s="443"/>
      <c r="F11" s="443"/>
      <c r="G11" s="443"/>
      <c r="H11" s="443"/>
      <c r="I11" s="443"/>
      <c r="J11" s="443"/>
      <c r="K11" s="443"/>
      <c r="L11" s="444"/>
      <c r="M11" s="444"/>
      <c r="N11" s="444"/>
    </row>
    <row r="12" spans="1:19" ht="6" customHeight="1" x14ac:dyDescent="0.25">
      <c r="A12" s="30"/>
    </row>
    <row r="13" spans="1:19" ht="12.75" customHeight="1" x14ac:dyDescent="0.25">
      <c r="A13" s="440" t="s">
        <v>40</v>
      </c>
      <c r="B13" s="441"/>
      <c r="C13" s="441"/>
      <c r="D13" s="441"/>
      <c r="E13" s="441"/>
      <c r="F13" s="441"/>
      <c r="G13" s="441"/>
      <c r="H13" s="441"/>
      <c r="I13" s="441"/>
      <c r="J13" s="441"/>
      <c r="K13" s="441"/>
      <c r="L13" s="441"/>
      <c r="M13" s="441"/>
      <c r="N13" s="441"/>
    </row>
    <row r="14" spans="1:19" ht="6" customHeight="1" x14ac:dyDescent="0.25">
      <c r="A14" s="32"/>
    </row>
    <row r="15" spans="1:19" ht="24.75" customHeight="1" x14ac:dyDescent="0.25">
      <c r="A15" s="442" t="s">
        <v>41</v>
      </c>
      <c r="B15" s="442"/>
      <c r="C15" s="447" t="s">
        <v>42</v>
      </c>
      <c r="D15" s="447"/>
      <c r="E15" s="447"/>
      <c r="F15" s="447"/>
      <c r="G15" s="447"/>
      <c r="H15" s="447"/>
      <c r="I15" s="447" t="s">
        <v>43</v>
      </c>
      <c r="J15" s="447"/>
      <c r="K15" s="442" t="s">
        <v>44</v>
      </c>
      <c r="L15" s="442"/>
      <c r="M15" s="458" t="s">
        <v>45</v>
      </c>
      <c r="N15" s="458"/>
    </row>
    <row r="16" spans="1:19" ht="45.75" customHeight="1" x14ac:dyDescent="0.25">
      <c r="A16" s="460" t="str">
        <f>VLOOKUP(S1,Planejamento!A1:AD79,6,FALSE)</f>
        <v>Iniciação Profissional</v>
      </c>
      <c r="B16" s="443"/>
      <c r="C16" s="460" t="str">
        <f>VLOOKUP(S1,Planejamento!A1:AD79,2,FALSE)</f>
        <v>Informática Básica</v>
      </c>
      <c r="D16" s="443"/>
      <c r="E16" s="443"/>
      <c r="F16" s="443"/>
      <c r="G16" s="443"/>
      <c r="H16" s="443"/>
      <c r="I16" s="453">
        <f>VLOOKUP(S1,Planejamento!A1:AD79,8,FALSE)</f>
        <v>2.5</v>
      </c>
      <c r="J16" s="454"/>
      <c r="K16" s="455" t="str">
        <f>VLOOKUP(S1,Planejamento!A1:AD79,5,FALSE)</f>
        <v>Tecnologia da Informação</v>
      </c>
      <c r="L16" s="456"/>
      <c r="M16" s="459" t="s">
        <v>46</v>
      </c>
      <c r="N16" s="459"/>
    </row>
    <row r="17" spans="1:14" ht="6" customHeight="1" x14ac:dyDescent="0.25">
      <c r="A17" s="30"/>
    </row>
    <row r="18" spans="1:14" ht="12.75" customHeight="1" x14ac:dyDescent="0.25">
      <c r="A18" s="461" t="s">
        <v>47</v>
      </c>
      <c r="B18" s="462"/>
      <c r="C18" s="462"/>
      <c r="D18" s="462"/>
      <c r="E18" s="462"/>
      <c r="F18" s="462"/>
      <c r="G18" s="462"/>
      <c r="H18" s="462"/>
      <c r="I18" s="462"/>
      <c r="J18" s="462"/>
      <c r="K18" s="462"/>
      <c r="L18" s="462"/>
      <c r="M18" s="462"/>
      <c r="N18" s="462"/>
    </row>
    <row r="19" spans="1:14" ht="6" customHeight="1" x14ac:dyDescent="0.25">
      <c r="A19" s="30"/>
    </row>
    <row r="20" spans="1:14" ht="15" customHeight="1" x14ac:dyDescent="0.25">
      <c r="A20" s="457" t="s">
        <v>48</v>
      </c>
      <c r="B20" s="452" t="s">
        <v>49</v>
      </c>
      <c r="C20" s="452"/>
      <c r="D20" s="452" t="s">
        <v>50</v>
      </c>
      <c r="E20" s="452"/>
      <c r="F20" s="452"/>
      <c r="G20" s="452"/>
      <c r="H20" s="452"/>
      <c r="I20" s="452"/>
      <c r="J20" s="452"/>
      <c r="K20" s="452" t="s">
        <v>51</v>
      </c>
      <c r="L20" s="452"/>
      <c r="M20" s="452" t="s">
        <v>52</v>
      </c>
      <c r="N20" s="452" t="s">
        <v>53</v>
      </c>
    </row>
    <row r="21" spans="1:14" x14ac:dyDescent="0.25">
      <c r="A21" s="457"/>
      <c r="B21" s="452"/>
      <c r="C21" s="452"/>
      <c r="D21" s="452"/>
      <c r="E21" s="452"/>
      <c r="F21" s="452"/>
      <c r="G21" s="452"/>
      <c r="H21" s="452"/>
      <c r="I21" s="452"/>
      <c r="J21" s="452"/>
      <c r="K21" s="452"/>
      <c r="L21" s="452"/>
      <c r="M21" s="452"/>
      <c r="N21" s="452"/>
    </row>
    <row r="22" spans="1:14" x14ac:dyDescent="0.25">
      <c r="A22" s="457"/>
      <c r="B22" s="33" t="s">
        <v>54</v>
      </c>
      <c r="C22" s="33" t="s">
        <v>55</v>
      </c>
      <c r="D22" s="33" t="s">
        <v>56</v>
      </c>
      <c r="E22" s="33" t="s">
        <v>57</v>
      </c>
      <c r="F22" s="33" t="s">
        <v>58</v>
      </c>
      <c r="G22" s="33" t="s">
        <v>59</v>
      </c>
      <c r="H22" s="33" t="s">
        <v>60</v>
      </c>
      <c r="I22" s="33" t="s">
        <v>61</v>
      </c>
      <c r="J22" s="33" t="s">
        <v>62</v>
      </c>
      <c r="K22" s="33" t="s">
        <v>54</v>
      </c>
      <c r="L22" s="33" t="s">
        <v>55</v>
      </c>
      <c r="M22" s="452"/>
      <c r="N22" s="452"/>
    </row>
    <row r="23" spans="1:14" x14ac:dyDescent="0.25">
      <c r="A23" s="34">
        <v>1</v>
      </c>
      <c r="B23" s="192">
        <f>VLOOKUP(S1,Planejamento!A1:AD79,19,FALSE)</f>
        <v>45874</v>
      </c>
      <c r="C23" s="192">
        <f>VLOOKUP(S1,Planejamento!A1:AD79,20,FALSE)</f>
        <v>45939</v>
      </c>
      <c r="D23" s="188" t="str">
        <f>IF(VLOOKUP($S$1,Planejamento!$A$1:$AD$79,9,FALSE)="X","X","")</f>
        <v/>
      </c>
      <c r="E23" s="188" t="str">
        <f>IF(VLOOKUP($S$1,Planejamento!$A$1:$AD$79,10,FALSE)="X","X","")</f>
        <v>X</v>
      </c>
      <c r="F23" s="188" t="str">
        <f>IF(VLOOKUP($S$1,Planejamento!$A$1:$AD$79,11,FALSE)="X","X","")</f>
        <v/>
      </c>
      <c r="G23" s="188" t="str">
        <f>IF(VLOOKUP($S$1,Planejamento!$A$1:$AD$79,12,FALSE)="X","X","")</f>
        <v>X</v>
      </c>
      <c r="H23" s="188" t="str">
        <f>IF(VLOOKUP($S$1,Planejamento!$A$1:$AD$79,13,FALSE)="X","X","")</f>
        <v/>
      </c>
      <c r="I23" s="36"/>
      <c r="J23" s="36"/>
      <c r="K23" s="191">
        <f>VLOOKUP(S1,Planejamento!A1:AD79,15,FALSE)</f>
        <v>0.625</v>
      </c>
      <c r="L23" s="191">
        <f>VLOOKUP(S1,Planejamento!A1:AD79,16,FALSE)</f>
        <v>0.75</v>
      </c>
      <c r="M23" s="189">
        <f>VLOOKUP(S1,Planejamento!A1:AD79,22,FALSE)</f>
        <v>16</v>
      </c>
      <c r="N23" s="37" t="s">
        <v>63</v>
      </c>
    </row>
    <row r="24" spans="1:14" x14ac:dyDescent="0.25">
      <c r="A24" s="34">
        <v>2</v>
      </c>
      <c r="B24" s="190" t="str">
        <f>IF($S$2&lt;&gt;"",VLOOKUP($S$2,Planejamento!$A$1:$AD$79,19,FALSE),"")</f>
        <v/>
      </c>
      <c r="C24" s="190" t="str">
        <f>IF($S$2&lt;&gt;"",VLOOKUP($S$2,Planejamento!$A$1:$AD$79,20,FALSE),"")</f>
        <v/>
      </c>
      <c r="D24" s="190" t="str">
        <f>IF($S$2&lt;&gt;"",IF(VLOOKUP($S$2,Planejamento!$A$1:$AD$79,9,FALSE)="X","X",""),"")</f>
        <v/>
      </c>
      <c r="E24" s="190" t="str">
        <f>IF($S$2&lt;&gt;"",IF(VLOOKUP($S$2,Planejamento!$A$1:$AD$79,10,FALSE)="X","X",""),"")</f>
        <v/>
      </c>
      <c r="F24" s="190" t="str">
        <f>IF($S$2&lt;&gt;"",IF(VLOOKUP($S$2,Planejamento!$A$1:$AD$79,11,FALSE)="X","X",""),"")</f>
        <v/>
      </c>
      <c r="G24" s="190" t="str">
        <f>IF($S$2&lt;&gt;"",IF(VLOOKUP($S$2,Planejamento!$A$1:$AD$79,12,FALSE)="X","X",""),"")</f>
        <v/>
      </c>
      <c r="H24" s="190" t="str">
        <f>IF($S$2&lt;&gt;"",IF(VLOOKUP($S$2,Planejamento!$A$1:$AD$79,13,FALSE)="X","X",""),"")</f>
        <v/>
      </c>
      <c r="I24" s="35"/>
      <c r="J24" s="35"/>
      <c r="K24" s="191" t="str">
        <f>IF($S$2&lt;&gt;"",VLOOKUP($S$2,Planejamento!$A$1:$AD$79,15,FALSE),"")</f>
        <v/>
      </c>
      <c r="L24" s="191" t="str">
        <f>IF($S$2&lt;&gt;"",VLOOKUP($S$2,Planejamento!$A$1:$AD$79,16,FALSE),"")</f>
        <v/>
      </c>
      <c r="M24" s="188" t="str">
        <f>IF($S$2&lt;&gt;"",VLOOKUP($S$2,Planejamento!$A$1:$AD$79,22,FALSE),"")</f>
        <v/>
      </c>
      <c r="N24" s="37" t="s">
        <v>63</v>
      </c>
    </row>
    <row r="25" spans="1:14" x14ac:dyDescent="0.25">
      <c r="A25" s="34">
        <v>3</v>
      </c>
      <c r="B25" s="37" t="s">
        <v>63</v>
      </c>
      <c r="C25" s="37" t="s">
        <v>63</v>
      </c>
      <c r="D25" s="36"/>
      <c r="E25" s="36"/>
      <c r="F25" s="36"/>
      <c r="G25" s="36"/>
      <c r="H25" s="36"/>
      <c r="I25" s="36"/>
      <c r="J25" s="36"/>
      <c r="K25" s="187" t="s">
        <v>63</v>
      </c>
      <c r="L25" s="187" t="s">
        <v>63</v>
      </c>
      <c r="M25" s="37" t="s">
        <v>63</v>
      </c>
      <c r="N25" s="37" t="s">
        <v>63</v>
      </c>
    </row>
    <row r="26" spans="1:14" x14ac:dyDescent="0.25">
      <c r="A26" s="34">
        <v>4</v>
      </c>
      <c r="B26" s="37" t="s">
        <v>63</v>
      </c>
      <c r="C26" s="37" t="s">
        <v>63</v>
      </c>
      <c r="D26" s="36"/>
      <c r="E26" s="36"/>
      <c r="F26" s="36"/>
      <c r="G26" s="36"/>
      <c r="H26" s="36"/>
      <c r="I26" s="36"/>
      <c r="J26" s="36"/>
      <c r="K26" s="187" t="s">
        <v>63</v>
      </c>
      <c r="L26" s="187" t="s">
        <v>63</v>
      </c>
      <c r="M26" s="37" t="s">
        <v>63</v>
      </c>
      <c r="N26" s="37" t="s">
        <v>63</v>
      </c>
    </row>
    <row r="27" spans="1:14" ht="6" customHeight="1" x14ac:dyDescent="0.25">
      <c r="A27" s="30"/>
    </row>
    <row r="28" spans="1:14" x14ac:dyDescent="0.25">
      <c r="A28" s="451" t="s">
        <v>64</v>
      </c>
      <c r="B28" s="451"/>
      <c r="C28" s="451"/>
      <c r="D28" s="451"/>
      <c r="E28" s="451"/>
      <c r="F28" s="451"/>
    </row>
    <row r="29" spans="1:14" x14ac:dyDescent="0.25">
      <c r="A29" s="30"/>
    </row>
    <row r="30" spans="1:14" ht="12.75" customHeight="1" x14ac:dyDescent="0.25">
      <c r="A30" s="461" t="s">
        <v>65</v>
      </c>
      <c r="B30" s="462"/>
      <c r="C30" s="462"/>
      <c r="D30" s="462"/>
      <c r="E30" s="462"/>
      <c r="F30" s="462"/>
      <c r="G30" s="462"/>
      <c r="H30" s="462"/>
      <c r="I30" s="462"/>
      <c r="J30" s="462"/>
      <c r="K30" s="462"/>
      <c r="L30" s="462"/>
      <c r="M30" s="462"/>
      <c r="N30" s="462"/>
    </row>
    <row r="31" spans="1:14" ht="6" customHeight="1" x14ac:dyDescent="0.25">
      <c r="A31" s="30"/>
    </row>
    <row r="32" spans="1:14" x14ac:dyDescent="0.25">
      <c r="A32" s="463" t="s">
        <v>25</v>
      </c>
      <c r="B32" s="463"/>
      <c r="C32" s="463"/>
      <c r="D32" s="463"/>
      <c r="E32" s="463"/>
      <c r="F32" s="463"/>
      <c r="G32" s="463"/>
      <c r="I32" s="463" t="s">
        <v>39</v>
      </c>
      <c r="J32" s="463"/>
      <c r="K32" s="463"/>
      <c r="L32" s="463"/>
      <c r="M32" s="463"/>
      <c r="N32" s="463"/>
    </row>
    <row r="33" spans="1:14" x14ac:dyDescent="0.25">
      <c r="A33" s="30"/>
    </row>
    <row r="34" spans="1:14" x14ac:dyDescent="0.25">
      <c r="A34" s="38" t="s">
        <v>68</v>
      </c>
      <c r="B34" s="464" t="s">
        <v>69</v>
      </c>
      <c r="C34" s="464"/>
      <c r="D34" s="464"/>
      <c r="E34" s="464"/>
      <c r="F34" s="464"/>
      <c r="G34" s="464"/>
      <c r="I34" s="464" t="s">
        <v>68</v>
      </c>
      <c r="J34" s="464"/>
      <c r="K34" s="465"/>
      <c r="L34" s="465"/>
      <c r="M34" s="465"/>
      <c r="N34" s="465"/>
    </row>
    <row r="35" spans="1:14" x14ac:dyDescent="0.25">
      <c r="A35" s="31"/>
      <c r="I35" s="31"/>
    </row>
    <row r="36" spans="1:14" x14ac:dyDescent="0.25">
      <c r="A36" s="38" t="s">
        <v>70</v>
      </c>
      <c r="B36" s="464" t="s">
        <v>71</v>
      </c>
      <c r="C36" s="464"/>
      <c r="D36" s="464"/>
      <c r="E36" s="464"/>
      <c r="F36" s="464"/>
      <c r="G36" s="464"/>
      <c r="I36" s="464" t="s">
        <v>70</v>
      </c>
      <c r="J36" s="464"/>
      <c r="K36" s="465"/>
      <c r="L36" s="465"/>
      <c r="M36" s="465"/>
      <c r="N36" s="465"/>
    </row>
    <row r="37" spans="1:14" x14ac:dyDescent="0.25">
      <c r="A37" s="31"/>
    </row>
    <row r="38" spans="1:14" x14ac:dyDescent="0.25">
      <c r="A38" s="464" t="s">
        <v>66</v>
      </c>
      <c r="B38" s="464"/>
      <c r="C38" s="465"/>
      <c r="D38" s="465"/>
      <c r="E38" s="465"/>
      <c r="F38" s="465"/>
      <c r="G38" s="465"/>
      <c r="I38" s="464" t="s">
        <v>66</v>
      </c>
      <c r="J38" s="464"/>
      <c r="K38" s="464"/>
      <c r="L38" s="465"/>
      <c r="M38" s="465"/>
      <c r="N38" s="465"/>
    </row>
    <row r="39" spans="1:14" x14ac:dyDescent="0.25">
      <c r="A39" s="31"/>
    </row>
    <row r="40" spans="1:14" x14ac:dyDescent="0.25">
      <c r="A40" s="38" t="s">
        <v>67</v>
      </c>
      <c r="B40" s="466">
        <f ca="1">TODAY()</f>
        <v>45859</v>
      </c>
      <c r="C40" s="466"/>
      <c r="D40" s="466"/>
      <c r="E40" s="466"/>
      <c r="F40" s="466"/>
      <c r="G40" s="466"/>
      <c r="I40" s="467" t="s">
        <v>67</v>
      </c>
      <c r="J40" s="467"/>
      <c r="K40" s="465"/>
      <c r="L40" s="465"/>
      <c r="M40" s="465"/>
      <c r="N40" s="465"/>
    </row>
    <row r="41" spans="1:14" x14ac:dyDescent="0.25">
      <c r="A41" s="31"/>
    </row>
    <row r="42" spans="1:14" x14ac:dyDescent="0.25">
      <c r="A42" s="31"/>
    </row>
    <row r="43" spans="1:14" x14ac:dyDescent="0.25">
      <c r="A43" s="31"/>
    </row>
    <row r="44" spans="1:14" x14ac:dyDescent="0.25">
      <c r="A44" s="31"/>
    </row>
    <row r="45" spans="1:14" x14ac:dyDescent="0.25">
      <c r="A45" s="31"/>
    </row>
    <row r="46" spans="1:14" x14ac:dyDescent="0.25">
      <c r="A46" s="31"/>
    </row>
    <row r="47" spans="1:14" x14ac:dyDescent="0.25">
      <c r="A47" s="31"/>
    </row>
    <row r="48" spans="1:14" x14ac:dyDescent="0.25">
      <c r="A48" s="31"/>
    </row>
    <row r="49" spans="1:1" x14ac:dyDescent="0.25">
      <c r="A49" s="31"/>
    </row>
  </sheetData>
  <mergeCells count="54">
    <mergeCell ref="A38:B38"/>
    <mergeCell ref="C38:G38"/>
    <mergeCell ref="B40:G40"/>
    <mergeCell ref="I36:J36"/>
    <mergeCell ref="I34:J34"/>
    <mergeCell ref="I38:K38"/>
    <mergeCell ref="I40:J40"/>
    <mergeCell ref="K40:N40"/>
    <mergeCell ref="L38:N38"/>
    <mergeCell ref="A30:N30"/>
    <mergeCell ref="A32:G32"/>
    <mergeCell ref="I32:N32"/>
    <mergeCell ref="B34:G34"/>
    <mergeCell ref="B36:G36"/>
    <mergeCell ref="K36:N36"/>
    <mergeCell ref="K34:N34"/>
    <mergeCell ref="M15:N15"/>
    <mergeCell ref="M16:N16"/>
    <mergeCell ref="C15:H15"/>
    <mergeCell ref="C16:H16"/>
    <mergeCell ref="A18:N18"/>
    <mergeCell ref="A16:B16"/>
    <mergeCell ref="A28:F28"/>
    <mergeCell ref="L10:N10"/>
    <mergeCell ref="A10:K10"/>
    <mergeCell ref="A11:K11"/>
    <mergeCell ref="L11:N11"/>
    <mergeCell ref="N20:N22"/>
    <mergeCell ref="I15:J15"/>
    <mergeCell ref="I16:J16"/>
    <mergeCell ref="K15:L15"/>
    <mergeCell ref="K16:L16"/>
    <mergeCell ref="D20:J21"/>
    <mergeCell ref="K20:L21"/>
    <mergeCell ref="M20:M22"/>
    <mergeCell ref="A20:A22"/>
    <mergeCell ref="B20:C21"/>
    <mergeCell ref="A15:B15"/>
    <mergeCell ref="A13:N13"/>
    <mergeCell ref="H6:K6"/>
    <mergeCell ref="H9:K9"/>
    <mergeCell ref="H8:K8"/>
    <mergeCell ref="H7:K7"/>
    <mergeCell ref="A7:G7"/>
    <mergeCell ref="A8:G9"/>
    <mergeCell ref="L8:N9"/>
    <mergeCell ref="L7:N7"/>
    <mergeCell ref="A1:N1"/>
    <mergeCell ref="A3:N3"/>
    <mergeCell ref="A5:G5"/>
    <mergeCell ref="A6:G6"/>
    <mergeCell ref="H5:K5"/>
    <mergeCell ref="L5:N5"/>
    <mergeCell ref="L6:N6"/>
  </mergeCells>
  <phoneticPr fontId="23" type="noConversion"/>
  <pageMargins left="0.511811024" right="0.511811024" top="0.78740157499999996" bottom="0.78740157499999996" header="0.31496062000000002" footer="0.31496062000000002"/>
  <pageSetup paperSize="9" scale="99" orientation="portrait" r:id="rId1"/>
  <colBreaks count="1" manualBreakCount="1">
    <brk id="14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CE1DE-2BEE-4F38-990D-B9ACDE933AA3}">
  <sheetPr codeName="Planilha14"/>
  <dimension ref="A1:K35"/>
  <sheetViews>
    <sheetView zoomScaleNormal="100" workbookViewId="0">
      <selection activeCell="K1" sqref="K1"/>
    </sheetView>
  </sheetViews>
  <sheetFormatPr defaultRowHeight="18" x14ac:dyDescent="0.25"/>
  <cols>
    <col min="1" max="1" width="5.7109375" style="390" customWidth="1"/>
    <col min="2" max="6" width="15.42578125" style="390" customWidth="1"/>
    <col min="7" max="7" width="5.7109375" customWidth="1"/>
    <col min="8" max="11" width="11.5703125" customWidth="1"/>
  </cols>
  <sheetData>
    <row r="1" spans="1:11" ht="36.75" customHeight="1" x14ac:dyDescent="0.25">
      <c r="B1" s="469" t="s">
        <v>396</v>
      </c>
      <c r="C1" s="469"/>
      <c r="D1" s="469"/>
      <c r="E1" s="469"/>
      <c r="F1" s="469"/>
      <c r="J1" s="186" t="s">
        <v>208</v>
      </c>
      <c r="K1" s="323" t="s">
        <v>431</v>
      </c>
    </row>
    <row r="2" spans="1:11" ht="18" customHeight="1" x14ac:dyDescent="0.25">
      <c r="A2" s="389"/>
      <c r="B2" s="469"/>
      <c r="C2" s="469"/>
      <c r="D2" s="469"/>
      <c r="E2" s="469"/>
      <c r="F2" s="469"/>
      <c r="J2" s="186" t="s">
        <v>85</v>
      </c>
    </row>
    <row r="3" spans="1:11" x14ac:dyDescent="0.25">
      <c r="A3" s="391"/>
      <c r="B3" s="469"/>
      <c r="C3" s="469"/>
      <c r="D3" s="469"/>
      <c r="E3" s="469"/>
      <c r="F3" s="469"/>
    </row>
    <row r="4" spans="1:11" x14ac:dyDescent="0.25">
      <c r="A4" s="391"/>
    </row>
    <row r="5" spans="1:11" x14ac:dyDescent="0.25">
      <c r="A5" s="391"/>
    </row>
    <row r="6" spans="1:11" x14ac:dyDescent="0.25">
      <c r="A6" s="391"/>
    </row>
    <row r="7" spans="1:11" x14ac:dyDescent="0.25">
      <c r="A7" s="391"/>
    </row>
    <row r="8" spans="1:11" x14ac:dyDescent="0.25">
      <c r="A8" s="391"/>
    </row>
    <row r="9" spans="1:11" x14ac:dyDescent="0.25">
      <c r="A9" s="391"/>
    </row>
    <row r="10" spans="1:11" x14ac:dyDescent="0.25">
      <c r="A10" s="391"/>
    </row>
    <row r="11" spans="1:11" ht="25.5" customHeight="1" x14ac:dyDescent="0.25">
      <c r="B11" s="468" t="str">
        <f>VLOOKUP(K1,Planejamento!A1:AD79,6,FALSE)</f>
        <v>Aperfeiçoamento Profissional</v>
      </c>
      <c r="C11" s="468"/>
      <c r="D11" s="468"/>
      <c r="E11" s="468"/>
      <c r="F11" s="468"/>
    </row>
    <row r="12" spans="1:11" x14ac:dyDescent="0.25">
      <c r="B12" s="470" t="str">
        <f>VLOOKUP(K1,Planejamento!A1:AD79,2,FALSE)</f>
        <v>Planejamento Controle de Produção</v>
      </c>
      <c r="C12" s="470"/>
      <c r="D12" s="470"/>
      <c r="E12" s="470"/>
      <c r="F12" s="470"/>
    </row>
    <row r="13" spans="1:11" x14ac:dyDescent="0.25">
      <c r="B13" s="470"/>
      <c r="C13" s="470"/>
      <c r="D13" s="470"/>
      <c r="E13" s="470"/>
      <c r="F13" s="470"/>
    </row>
    <row r="14" spans="1:11" x14ac:dyDescent="0.25">
      <c r="B14" s="470"/>
      <c r="C14" s="470"/>
      <c r="D14" s="470"/>
      <c r="E14" s="470"/>
      <c r="F14" s="470"/>
    </row>
    <row r="15" spans="1:11" ht="120" customHeight="1" x14ac:dyDescent="0.25">
      <c r="A15" s="394"/>
      <c r="B15" s="470"/>
      <c r="C15" s="470"/>
      <c r="D15" s="470"/>
      <c r="E15" s="470"/>
      <c r="F15" s="470"/>
    </row>
    <row r="16" spans="1:11" ht="18" customHeight="1" x14ac:dyDescent="0.25">
      <c r="A16" s="394"/>
      <c r="B16" s="394"/>
      <c r="C16" s="394"/>
      <c r="D16" s="394"/>
      <c r="E16" s="394"/>
    </row>
    <row r="17" spans="1:6" ht="18" customHeight="1" x14ac:dyDescent="0.25">
      <c r="A17" s="394"/>
      <c r="B17" s="472" t="s">
        <v>405</v>
      </c>
      <c r="C17" s="472"/>
      <c r="D17" s="394"/>
      <c r="E17" s="472" t="s">
        <v>406</v>
      </c>
      <c r="F17" s="472"/>
    </row>
    <row r="18" spans="1:6" x14ac:dyDescent="0.25">
      <c r="B18" s="473">
        <f>VLOOKUP(K1,Planejamento!A1:AD79,19,FALSE)</f>
        <v>45855</v>
      </c>
      <c r="C18" s="473"/>
      <c r="E18" s="473">
        <f>VLOOKUP(K1,Planejamento!A1:AD79,20,FALSE)</f>
        <v>45902</v>
      </c>
      <c r="F18" s="473"/>
    </row>
    <row r="19" spans="1:6" x14ac:dyDescent="0.25">
      <c r="A19" s="391"/>
    </row>
    <row r="20" spans="1:6" x14ac:dyDescent="0.25">
      <c r="A20" s="391"/>
      <c r="E20" s="393"/>
    </row>
    <row r="21" spans="1:6" x14ac:dyDescent="0.25">
      <c r="A21" s="391"/>
      <c r="C21" s="392"/>
    </row>
    <row r="22" spans="1:6" x14ac:dyDescent="0.25">
      <c r="A22" s="391"/>
    </row>
    <row r="23" spans="1:6" x14ac:dyDescent="0.25">
      <c r="A23" s="391"/>
    </row>
    <row r="24" spans="1:6" x14ac:dyDescent="0.25">
      <c r="A24" s="391"/>
    </row>
    <row r="25" spans="1:6" x14ac:dyDescent="0.25">
      <c r="A25" s="391"/>
    </row>
    <row r="26" spans="1:6" x14ac:dyDescent="0.25">
      <c r="A26" s="391"/>
    </row>
    <row r="27" spans="1:6" x14ac:dyDescent="0.25">
      <c r="A27" s="391"/>
    </row>
    <row r="30" spans="1:6" ht="18" customHeight="1" x14ac:dyDescent="0.25">
      <c r="B30" s="471" t="s">
        <v>403</v>
      </c>
      <c r="C30" s="471"/>
      <c r="D30" s="471"/>
      <c r="E30" s="471"/>
      <c r="F30" s="471"/>
    </row>
    <row r="31" spans="1:6" ht="18" customHeight="1" x14ac:dyDescent="0.25">
      <c r="B31" s="468" t="s">
        <v>404</v>
      </c>
      <c r="C31" s="468"/>
      <c r="D31" s="468"/>
      <c r="E31" s="468"/>
      <c r="F31" s="468"/>
    </row>
    <row r="32" spans="1:6" ht="18" customHeight="1" x14ac:dyDescent="0.25">
      <c r="B32" s="468"/>
      <c r="C32" s="468"/>
      <c r="D32" s="468"/>
      <c r="E32" s="468"/>
      <c r="F32" s="468"/>
    </row>
    <row r="33" spans="2:6" ht="18" customHeight="1" x14ac:dyDescent="0.25">
      <c r="B33" s="397"/>
      <c r="C33" s="397"/>
      <c r="D33" s="397"/>
      <c r="E33" s="398"/>
      <c r="F33" s="399"/>
    </row>
    <row r="35" spans="2:6" x14ac:dyDescent="0.25">
      <c r="E35" s="398" t="s">
        <v>410</v>
      </c>
      <c r="F35" s="399" t="str">
        <f>VLOOKUP(K1,Planejamento!A1:AE79,31,FALSE)</f>
        <v>Gratuidade</v>
      </c>
    </row>
  </sheetData>
  <mergeCells count="9">
    <mergeCell ref="B31:F32"/>
    <mergeCell ref="B1:F3"/>
    <mergeCell ref="B12:F15"/>
    <mergeCell ref="B30:F30"/>
    <mergeCell ref="B17:C17"/>
    <mergeCell ref="B18:C18"/>
    <mergeCell ref="E18:F18"/>
    <mergeCell ref="E17:F17"/>
    <mergeCell ref="B11:F11"/>
  </mergeCells>
  <pageMargins left="0.511811024" right="0.511811024" top="0.31" bottom="0.3" header="0.31496062000000002" footer="0.31496062000000002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38EFCB-D93E-4FE6-B912-D092D57901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Resumo</vt:lpstr>
      <vt:lpstr>Planejamento</vt:lpstr>
      <vt:lpstr>Horarios Julho</vt:lpstr>
      <vt:lpstr>Valor Executado</vt:lpstr>
      <vt:lpstr>RH </vt:lpstr>
      <vt:lpstr>Insumos</vt:lpstr>
      <vt:lpstr>Planilha1</vt:lpstr>
      <vt:lpstr>Planejamento 1ºSem</vt:lpstr>
      <vt:lpstr>Calendário</vt:lpstr>
      <vt:lpstr>BANDA</vt:lpstr>
      <vt:lpstr>Dados de Treinamento</vt:lpstr>
      <vt:lpstr>CAPA</vt:lpstr>
      <vt:lpstr>CAPA!Area_de_impressao</vt:lpstr>
      <vt:lpstr>'Dados de Treinamento'!Area_de_impressao</vt:lpstr>
      <vt:lpstr>'Dados de Treinamento'!Texto40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Anna Moura</cp:lastModifiedBy>
  <cp:lastPrinted>2025-07-17T14:56:33Z</cp:lastPrinted>
  <dcterms:created xsi:type="dcterms:W3CDTF">2015-06-05T18:19:34Z</dcterms:created>
  <dcterms:modified xsi:type="dcterms:W3CDTF">2025-07-21T18:21:40Z</dcterms:modified>
</cp:coreProperties>
</file>